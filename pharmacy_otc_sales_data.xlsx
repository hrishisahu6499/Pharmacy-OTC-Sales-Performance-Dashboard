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91798\Downloads\Excel project list\"/>
    </mc:Choice>
  </mc:AlternateContent>
  <xr:revisionPtr revIDLastSave="0" documentId="13_ncr:1_{8C388B7D-2154-4A0E-A083-D27EFEFD5AB2}" xr6:coauthVersionLast="47" xr6:coauthVersionMax="47" xr10:uidLastSave="{00000000-0000-0000-0000-000000000000}"/>
  <bookViews>
    <workbookView xWindow="-108" yWindow="-108" windowWidth="23256" windowHeight="12456" firstSheet="4" activeTab="7" xr2:uid="{8E413693-121E-4123-805F-2E2777985801}"/>
  </bookViews>
  <sheets>
    <sheet name="pharmacy_otc_sales_data" sheetId="1" r:id="rId1"/>
    <sheet name="Product wise orders placed" sheetId="7" r:id="rId2"/>
    <sheet name="total sales of drugs" sheetId="3" r:id="rId3"/>
    <sheet name="Monthly trend of sales of drugs" sheetId="4" r:id="rId4"/>
    <sheet name="Weekly trend of sales" sheetId="5" r:id="rId5"/>
    <sheet name="percent of total order by count" sheetId="6" r:id="rId6"/>
    <sheet name="Employess wise total sales" sheetId="9" r:id="rId7"/>
    <sheet name="Dashboard" sheetId="8" r:id="rId8"/>
  </sheets>
  <definedNames>
    <definedName name="Slicer_Country">#N/A</definedName>
    <definedName name="Slicer_Month">#N/A</definedName>
    <definedName name="Slicer_Produc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2" i="1"/>
</calcChain>
</file>

<file path=xl/sharedStrings.xml><?xml version="1.0" encoding="utf-8"?>
<sst xmlns="http://schemas.openxmlformats.org/spreadsheetml/2006/main" count="1066" uniqueCount="46">
  <si>
    <t>Date</t>
  </si>
  <si>
    <t>Product</t>
  </si>
  <si>
    <t>Sales Person</t>
  </si>
  <si>
    <t>Boxes Shipped</t>
  </si>
  <si>
    <t>Amount ($)</t>
  </si>
  <si>
    <t>Country</t>
  </si>
  <si>
    <t>Pain Relief Tablets</t>
  </si>
  <si>
    <t>Divya Mehra</t>
  </si>
  <si>
    <t>Australia</t>
  </si>
  <si>
    <t>Antiseptic Cream</t>
  </si>
  <si>
    <t>Nikhil Batra</t>
  </si>
  <si>
    <t>Canada</t>
  </si>
  <si>
    <t>Cough Syrup</t>
  </si>
  <si>
    <t>Ritika Shah</t>
  </si>
  <si>
    <t>UK</t>
  </si>
  <si>
    <t>Digestive Enzyme</t>
  </si>
  <si>
    <t>USA</t>
  </si>
  <si>
    <t>Eye Drops</t>
  </si>
  <si>
    <t>Nasal Spray</t>
  </si>
  <si>
    <t>Priya Singh</t>
  </si>
  <si>
    <t>Sneha Iyer</t>
  </si>
  <si>
    <t>Allergy Pills</t>
  </si>
  <si>
    <t>India</t>
  </si>
  <si>
    <t>Rajesh Patel</t>
  </si>
  <si>
    <t>Aman Verma</t>
  </si>
  <si>
    <t>Month</t>
  </si>
  <si>
    <t>Row Labels</t>
  </si>
  <si>
    <t>Grand Total</t>
  </si>
  <si>
    <t>Sum of Amount ($)</t>
  </si>
  <si>
    <t>January</t>
  </si>
  <si>
    <t>February</t>
  </si>
  <si>
    <t>March</t>
  </si>
  <si>
    <t>April</t>
  </si>
  <si>
    <t>May</t>
  </si>
  <si>
    <t>June</t>
  </si>
  <si>
    <t>July</t>
  </si>
  <si>
    <t>August</t>
  </si>
  <si>
    <t>Day</t>
  </si>
  <si>
    <t>Sunday</t>
  </si>
  <si>
    <t>Monday</t>
  </si>
  <si>
    <t>Tuesday</t>
  </si>
  <si>
    <t>Wednesday</t>
  </si>
  <si>
    <t>Thursday</t>
  </si>
  <si>
    <t>Friday</t>
  </si>
  <si>
    <t>Saturday</t>
  </si>
  <si>
    <t>Sum of Boxes 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</si>
</sst>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6" tint="-0.249977111117893"/>
        <bgColor indexed="64"/>
      </patternFill>
    </fill>
    <fill>
      <patternFill patternType="solid">
        <fgColor theme="6"/>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auto="1"/>
      </bottom>
      <diagonal/>
    </border>
    <border>
      <left/>
      <right style="medium">
        <color indexed="64"/>
      </right>
      <top/>
      <bottom style="thin">
        <color auto="1"/>
      </bottom>
      <diagonal/>
    </border>
    <border>
      <left/>
      <right style="thin">
        <color theme="1"/>
      </right>
      <top/>
      <bottom/>
      <diagonal/>
    </border>
    <border>
      <left style="medium">
        <color indexed="64"/>
      </left>
      <right/>
      <top/>
      <bottom style="medium">
        <color theme="1"/>
      </bottom>
      <diagonal/>
    </border>
    <border>
      <left/>
      <right style="thick">
        <color indexed="64"/>
      </right>
      <top/>
      <bottom/>
      <diagonal/>
    </border>
    <border>
      <left style="thick">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0" fillId="34" borderId="0" xfId="0" applyFill="1" applyBorder="1"/>
    <xf numFmtId="0" fontId="0" fillId="35" borderId="0" xfId="0" applyFill="1" applyBorder="1"/>
    <xf numFmtId="0" fontId="0" fillId="34" borderId="11" xfId="0" applyFill="1" applyBorder="1"/>
    <xf numFmtId="0" fontId="0" fillId="34" borderId="13" xfId="0" applyFill="1" applyBorder="1"/>
    <xf numFmtId="0" fontId="0" fillId="34" borderId="16" xfId="0" applyFill="1" applyBorder="1"/>
    <xf numFmtId="0" fontId="0" fillId="34" borderId="17" xfId="0" applyFill="1" applyBorder="1"/>
    <xf numFmtId="0" fontId="0" fillId="34" borderId="18" xfId="0" applyFill="1" applyBorder="1"/>
    <xf numFmtId="0" fontId="0" fillId="35" borderId="14" xfId="0" applyFill="1" applyBorder="1"/>
    <xf numFmtId="0" fontId="0" fillId="35" borderId="15" xfId="0" applyFill="1" applyBorder="1"/>
    <xf numFmtId="0" fontId="0" fillId="35" borderId="17" xfId="0" applyFill="1" applyBorder="1"/>
    <xf numFmtId="0" fontId="0" fillId="35" borderId="18" xfId="0" applyFill="1" applyBorder="1"/>
    <xf numFmtId="0" fontId="0" fillId="35" borderId="19" xfId="0" applyFill="1" applyBorder="1"/>
    <xf numFmtId="0" fontId="0" fillId="33" borderId="0" xfId="0" applyFill="1" applyBorder="1"/>
    <xf numFmtId="0" fontId="0" fillId="33" borderId="10" xfId="0" applyFill="1" applyBorder="1"/>
    <xf numFmtId="0" fontId="0" fillId="33" borderId="11" xfId="0" applyFill="1" applyBorder="1"/>
    <xf numFmtId="0" fontId="0" fillId="34" borderId="20" xfId="0" applyFill="1" applyBorder="1"/>
    <xf numFmtId="0" fontId="0" fillId="34" borderId="21" xfId="0" applyFill="1" applyBorder="1"/>
    <xf numFmtId="0" fontId="0" fillId="33" borderId="12" xfId="0" applyFill="1" applyBorder="1"/>
    <xf numFmtId="0" fontId="0" fillId="0" borderId="22" xfId="0" applyBorder="1"/>
    <xf numFmtId="0" fontId="0" fillId="34" borderId="23" xfId="0" applyFill="1" applyBorder="1"/>
    <xf numFmtId="0" fontId="0" fillId="34" borderId="24" xfId="0" applyFill="1" applyBorder="1"/>
    <xf numFmtId="0" fontId="0" fillId="34" borderId="25"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[pharmacy_otc_sales_data.xlsx]Product wise orders placed!PivotTable6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wise Orders Placed</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38100">
            <a:solidFill>
              <a:schemeClr val="tx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38100">
            <a:solidFill>
              <a:schemeClr val="tx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38100">
            <a:solidFill>
              <a:schemeClr val="tx1"/>
            </a:solid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283639478520634"/>
          <c:y val="0.21698855351414403"/>
          <c:w val="0.75299386711938954"/>
          <c:h val="0.57485017497812774"/>
        </c:manualLayout>
      </c:layout>
      <c:barChart>
        <c:barDir val="col"/>
        <c:grouping val="stacked"/>
        <c:varyColors val="0"/>
        <c:ser>
          <c:idx val="0"/>
          <c:order val="0"/>
          <c:tx>
            <c:strRef>
              <c:f>'Product wise orders placed'!$B$3</c:f>
              <c:strCache>
                <c:ptCount val="1"/>
                <c:pt idx="0">
                  <c:v>Total</c:v>
                </c:pt>
              </c:strCache>
            </c:strRef>
          </c:tx>
          <c:spPr>
            <a:solidFill>
              <a:schemeClr val="accent1"/>
            </a:solidFill>
            <a:ln w="38100">
              <a:solidFill>
                <a:schemeClr val="tx1"/>
              </a:solidFill>
            </a:ln>
            <a:effectLst/>
          </c:spPr>
          <c:invertIfNegative val="0"/>
          <c:cat>
            <c:strRef>
              <c:f>'Product wise orders placed'!$A$4:$A$11</c:f>
              <c:strCache>
                <c:ptCount val="7"/>
                <c:pt idx="0">
                  <c:v>Allergy Pills</c:v>
                </c:pt>
                <c:pt idx="1">
                  <c:v>Antiseptic Cream</c:v>
                </c:pt>
                <c:pt idx="2">
                  <c:v>Cough Syrup</c:v>
                </c:pt>
                <c:pt idx="3">
                  <c:v>Digestive Enzyme</c:v>
                </c:pt>
                <c:pt idx="4">
                  <c:v>Eye Drops</c:v>
                </c:pt>
                <c:pt idx="5">
                  <c:v>Nasal Spray</c:v>
                </c:pt>
                <c:pt idx="6">
                  <c:v>Pain Relief Tablets</c:v>
                </c:pt>
              </c:strCache>
            </c:strRef>
          </c:cat>
          <c:val>
            <c:numRef>
              <c:f>'Product wise orders placed'!$B$4:$B$11</c:f>
              <c:numCache>
                <c:formatCode>General</c:formatCode>
                <c:ptCount val="7"/>
                <c:pt idx="0">
                  <c:v>518</c:v>
                </c:pt>
                <c:pt idx="1">
                  <c:v>573</c:v>
                </c:pt>
                <c:pt idx="2">
                  <c:v>484</c:v>
                </c:pt>
                <c:pt idx="3">
                  <c:v>612</c:v>
                </c:pt>
                <c:pt idx="4">
                  <c:v>458</c:v>
                </c:pt>
                <c:pt idx="5">
                  <c:v>489</c:v>
                </c:pt>
                <c:pt idx="6">
                  <c:v>354</c:v>
                </c:pt>
              </c:numCache>
            </c:numRef>
          </c:val>
          <c:extLst>
            <c:ext xmlns:c16="http://schemas.microsoft.com/office/drawing/2014/chart" uri="{C3380CC4-5D6E-409C-BE32-E72D297353CC}">
              <c16:uniqueId val="{00000000-8FC7-4E7A-98F5-1A040EC78F96}"/>
            </c:ext>
          </c:extLst>
        </c:ser>
        <c:dLbls>
          <c:showLegendKey val="0"/>
          <c:showVal val="0"/>
          <c:showCatName val="0"/>
          <c:showSerName val="0"/>
          <c:showPercent val="0"/>
          <c:showBubbleSize val="0"/>
        </c:dLbls>
        <c:gapWidth val="150"/>
        <c:overlap val="100"/>
        <c:axId val="802913247"/>
        <c:axId val="802914687"/>
      </c:barChart>
      <c:catAx>
        <c:axId val="802913247"/>
        <c:scaling>
          <c:orientation val="minMax"/>
        </c:scaling>
        <c:delete val="0"/>
        <c:axPos val="b"/>
        <c:title>
          <c:tx>
            <c:rich>
              <a:bodyPr/>
              <a:lstStyle/>
              <a:p>
                <a:pPr>
                  <a:defRPr/>
                </a:pPr>
                <a:r>
                  <a:rPr lang="en-IN"/>
                  <a:t>Products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14687"/>
        <c:crosses val="autoZero"/>
        <c:auto val="1"/>
        <c:lblAlgn val="ctr"/>
        <c:lblOffset val="100"/>
        <c:noMultiLvlLbl val="0"/>
      </c:catAx>
      <c:valAx>
        <c:axId val="802914687"/>
        <c:scaling>
          <c:orientation val="minMax"/>
        </c:scaling>
        <c:delete val="0"/>
        <c:axPos val="l"/>
        <c:title>
          <c:tx>
            <c:rich>
              <a:bodyPr/>
              <a:lstStyle/>
              <a:p>
                <a:pPr>
                  <a:defRPr/>
                </a:pPr>
                <a:r>
                  <a:rPr lang="en-IN"/>
                  <a:t>Total Orders</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13247"/>
        <c:crosses val="autoZero"/>
        <c:crossBetween val="between"/>
      </c:valAx>
      <c:spPr>
        <a:pattFill prst="wdDnDiag">
          <a:fgClr>
            <a:schemeClr val="accent4">
              <a:lumMod val="60000"/>
              <a:lumOff val="40000"/>
            </a:schemeClr>
          </a:fgClr>
          <a:bgClr>
            <a:schemeClr val="bg1"/>
          </a:bgClr>
        </a:patt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2">
        <a:alpha val="50000"/>
      </a:schemeClr>
    </a:solidFill>
    <a:ln w="38100">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[pharmacy_otc_sales_data.xlsx]total sales of drugs!PivotTable1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'total sales of drugs'!$B$3</c:f>
              <c:strCache>
                <c:ptCount val="1"/>
                <c:pt idx="0">
                  <c:v>Total</c:v>
                </c:pt>
              </c:strCache>
            </c:strRef>
          </c:tx>
          <c:spPr>
            <a:solidFill>
              <a:schemeClr val="accent1"/>
            </a:solidFill>
            <a:ln w="38100">
              <a:solidFill>
                <a:schemeClr val="tx1"/>
              </a:solidFill>
            </a:ln>
            <a:effectLst/>
          </c:spPr>
          <c:invertIfNegative val="0"/>
          <c:cat>
            <c:strRef>
              <c:f>'total sales of drugs'!$A$4:$A$11</c:f>
              <c:strCache>
                <c:ptCount val="7"/>
                <c:pt idx="0">
                  <c:v>Allergy Pills</c:v>
                </c:pt>
                <c:pt idx="1">
                  <c:v>Antiseptic Cream</c:v>
                </c:pt>
                <c:pt idx="2">
                  <c:v>Cough Syrup</c:v>
                </c:pt>
                <c:pt idx="3">
                  <c:v>Digestive Enzyme</c:v>
                </c:pt>
                <c:pt idx="4">
                  <c:v>Eye Drops</c:v>
                </c:pt>
                <c:pt idx="5">
                  <c:v>Nasal Spray</c:v>
                </c:pt>
                <c:pt idx="6">
                  <c:v>Pain Relief Tablets</c:v>
                </c:pt>
              </c:strCache>
            </c:strRef>
          </c:cat>
          <c:val>
            <c:numRef>
              <c:f>'total sales of drugs'!$B$4:$B$11</c:f>
              <c:numCache>
                <c:formatCode>General</c:formatCode>
                <c:ptCount val="7"/>
                <c:pt idx="0">
                  <c:v>7782.5799999999972</c:v>
                </c:pt>
                <c:pt idx="1">
                  <c:v>9736.2800000000007</c:v>
                </c:pt>
                <c:pt idx="2">
                  <c:v>7917.0100000000011</c:v>
                </c:pt>
                <c:pt idx="3">
                  <c:v>11056.61</c:v>
                </c:pt>
                <c:pt idx="4">
                  <c:v>8036.3600000000006</c:v>
                </c:pt>
                <c:pt idx="5">
                  <c:v>8407.3599999999988</c:v>
                </c:pt>
                <c:pt idx="6">
                  <c:v>5993.0900000000011</c:v>
                </c:pt>
              </c:numCache>
            </c:numRef>
          </c:val>
          <c:extLst>
            <c:ext xmlns:c16="http://schemas.microsoft.com/office/drawing/2014/chart" uri="{C3380CC4-5D6E-409C-BE32-E72D297353CC}">
              <c16:uniqueId val="{00000000-2721-4C21-B161-AEEE8BEDC8BC}"/>
            </c:ext>
          </c:extLst>
        </c:ser>
        <c:dLbls>
          <c:showLegendKey val="0"/>
          <c:showVal val="0"/>
          <c:showCatName val="0"/>
          <c:showSerName val="0"/>
          <c:showPercent val="0"/>
          <c:showBubbleSize val="0"/>
        </c:dLbls>
        <c:gapWidth val="150"/>
        <c:overlap val="100"/>
        <c:axId val="802913247"/>
        <c:axId val="802914687"/>
      </c:barChart>
      <c:catAx>
        <c:axId val="80291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14687"/>
        <c:crosses val="autoZero"/>
        <c:auto val="1"/>
        <c:lblAlgn val="ctr"/>
        <c:lblOffset val="100"/>
        <c:noMultiLvlLbl val="0"/>
      </c:catAx>
      <c:valAx>
        <c:axId val="802914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13247"/>
        <c:crosses val="autoZero"/>
        <c:crossBetween val="between"/>
      </c:valAx>
      <c:spPr>
        <a:pattFill prst="wdDnDiag">
          <a:fgClr>
            <a:schemeClr val="accent4">
              <a:lumMod val="60000"/>
              <a:lumOff val="40000"/>
            </a:schemeClr>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[pharmacy_otc_sales_data.xlsx]Monthly trend of sales of drugs!PivotTable2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Monthly</a:t>
            </a:r>
            <a:r>
              <a:rPr lang="en-US" b="1" u="sng" baseline="0"/>
              <a:t> Trend of Overall Sales of Drugs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 of sales of drugs'!$B$3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25400" cap="rnd">
                <a:solidFill>
                  <a:schemeClr val="tx1"/>
                </a:solidFill>
                <a:prstDash val="sysDot"/>
              </a:ln>
              <a:effectLst/>
            </c:spPr>
            <c:trendlineType val="linear"/>
            <c:dispRSqr val="0"/>
            <c:dispEq val="0"/>
          </c:trendline>
          <c:cat>
            <c:strRef>
              <c:f>'Monthly trend of sales of drugs'!$A$4:$A$12</c:f>
              <c:strCache>
                <c:ptCount val="8"/>
                <c:pt idx="0">
                  <c:v>January</c:v>
                </c:pt>
                <c:pt idx="1">
                  <c:v>February</c:v>
                </c:pt>
                <c:pt idx="2">
                  <c:v>March</c:v>
                </c:pt>
                <c:pt idx="3">
                  <c:v>April</c:v>
                </c:pt>
                <c:pt idx="4">
                  <c:v>May</c:v>
                </c:pt>
                <c:pt idx="5">
                  <c:v>June</c:v>
                </c:pt>
                <c:pt idx="6">
                  <c:v>July</c:v>
                </c:pt>
                <c:pt idx="7">
                  <c:v>August</c:v>
                </c:pt>
              </c:strCache>
            </c:strRef>
          </c:cat>
          <c:val>
            <c:numRef>
              <c:f>'Monthly trend of sales of drugs'!$B$4:$B$12</c:f>
              <c:numCache>
                <c:formatCode>0.00</c:formatCode>
                <c:ptCount val="8"/>
                <c:pt idx="0">
                  <c:v>5536.3900000000012</c:v>
                </c:pt>
                <c:pt idx="1">
                  <c:v>7451.5000000000009</c:v>
                </c:pt>
                <c:pt idx="2">
                  <c:v>7062.15</c:v>
                </c:pt>
                <c:pt idx="3">
                  <c:v>7339.1499999999987</c:v>
                </c:pt>
                <c:pt idx="4">
                  <c:v>8884.9999999999982</c:v>
                </c:pt>
                <c:pt idx="5">
                  <c:v>7019.5599999999995</c:v>
                </c:pt>
                <c:pt idx="6">
                  <c:v>8754.4399999999987</c:v>
                </c:pt>
                <c:pt idx="7">
                  <c:v>6881.0999999999976</c:v>
                </c:pt>
              </c:numCache>
            </c:numRef>
          </c:val>
          <c:smooth val="0"/>
          <c:extLst>
            <c:ext xmlns:c16="http://schemas.microsoft.com/office/drawing/2014/chart" uri="{C3380CC4-5D6E-409C-BE32-E72D297353CC}">
              <c16:uniqueId val="{00000001-C5AC-4D11-BC86-B420452F107F}"/>
            </c:ext>
          </c:extLst>
        </c:ser>
        <c:dLbls>
          <c:showLegendKey val="0"/>
          <c:showVal val="0"/>
          <c:showCatName val="0"/>
          <c:showSerName val="0"/>
          <c:showPercent val="0"/>
          <c:showBubbleSize val="0"/>
        </c:dLbls>
        <c:marker val="1"/>
        <c:smooth val="0"/>
        <c:axId val="802964607"/>
        <c:axId val="802965087"/>
      </c:lineChart>
      <c:catAx>
        <c:axId val="80296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65087"/>
        <c:crosses val="autoZero"/>
        <c:auto val="1"/>
        <c:lblAlgn val="ctr"/>
        <c:lblOffset val="100"/>
        <c:noMultiLvlLbl val="0"/>
      </c:catAx>
      <c:valAx>
        <c:axId val="802965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a:t>
                </a:r>
                <a:r>
                  <a:rPr lang="en-IN" b="1" baseline="0"/>
                  <a:t> Sales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64607"/>
        <c:crosses val="autoZero"/>
        <c:crossBetween val="between"/>
      </c:valAx>
      <c:spPr>
        <a:pattFill prst="wdDnDiag">
          <a:fgClr>
            <a:schemeClr val="accent4">
              <a:lumMod val="60000"/>
              <a:lumOff val="40000"/>
            </a:schemeClr>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[pharmacy_otc_sales_data.xlsx]Weekly trend of sales!PivotTable4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Weekly</a:t>
            </a:r>
            <a:r>
              <a:rPr lang="en-US" b="1" u="sng" baseline="0"/>
              <a:t> Trend of Overall Sales of Drugs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trend of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25400" cap="rnd">
                <a:solidFill>
                  <a:schemeClr val="tx1"/>
                </a:solidFill>
                <a:prstDash val="sysDot"/>
              </a:ln>
              <a:effectLst/>
            </c:spPr>
            <c:trendlineType val="linear"/>
            <c:dispRSqr val="0"/>
            <c:dispEq val="0"/>
          </c:trendline>
          <c:cat>
            <c:strRef>
              <c:f>'Weekly trend of sales'!$A$4:$A$11</c:f>
              <c:strCache>
                <c:ptCount val="7"/>
                <c:pt idx="0">
                  <c:v>Sunday</c:v>
                </c:pt>
                <c:pt idx="1">
                  <c:v>Monday</c:v>
                </c:pt>
                <c:pt idx="2">
                  <c:v>Tuesday</c:v>
                </c:pt>
                <c:pt idx="3">
                  <c:v>Wednesday</c:v>
                </c:pt>
                <c:pt idx="4">
                  <c:v>Thursday</c:v>
                </c:pt>
                <c:pt idx="5">
                  <c:v>Friday</c:v>
                </c:pt>
                <c:pt idx="6">
                  <c:v>Saturday</c:v>
                </c:pt>
              </c:strCache>
            </c:strRef>
          </c:cat>
          <c:val>
            <c:numRef>
              <c:f>'Weekly trend of sales'!$B$4:$B$11</c:f>
              <c:numCache>
                <c:formatCode>General</c:formatCode>
                <c:ptCount val="7"/>
                <c:pt idx="0">
                  <c:v>8629.0799999999981</c:v>
                </c:pt>
                <c:pt idx="1">
                  <c:v>7349.64</c:v>
                </c:pt>
                <c:pt idx="2">
                  <c:v>7251.7199999999993</c:v>
                </c:pt>
                <c:pt idx="3">
                  <c:v>9367.340000000002</c:v>
                </c:pt>
                <c:pt idx="4">
                  <c:v>7690.7299999999977</c:v>
                </c:pt>
                <c:pt idx="5">
                  <c:v>10651.28</c:v>
                </c:pt>
                <c:pt idx="6">
                  <c:v>7989.5</c:v>
                </c:pt>
              </c:numCache>
            </c:numRef>
          </c:val>
          <c:smooth val="0"/>
          <c:extLst>
            <c:ext xmlns:c16="http://schemas.microsoft.com/office/drawing/2014/chart" uri="{C3380CC4-5D6E-409C-BE32-E72D297353CC}">
              <c16:uniqueId val="{00000001-1AB7-4788-81EA-95108C250E05}"/>
            </c:ext>
          </c:extLst>
        </c:ser>
        <c:dLbls>
          <c:showLegendKey val="0"/>
          <c:showVal val="0"/>
          <c:showCatName val="0"/>
          <c:showSerName val="0"/>
          <c:showPercent val="0"/>
          <c:showBubbleSize val="0"/>
        </c:dLbls>
        <c:marker val="1"/>
        <c:smooth val="0"/>
        <c:axId val="802930527"/>
        <c:axId val="802935327"/>
      </c:lineChart>
      <c:catAx>
        <c:axId val="80293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35327"/>
        <c:crosses val="autoZero"/>
        <c:auto val="1"/>
        <c:lblAlgn val="ctr"/>
        <c:lblOffset val="100"/>
        <c:noMultiLvlLbl val="0"/>
      </c:catAx>
      <c:valAx>
        <c:axId val="8029353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a:t>
                </a:r>
                <a:r>
                  <a:rPr lang="en-IN" b="1" baseline="0"/>
                  <a:t> Sales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30527"/>
        <c:crosses val="autoZero"/>
        <c:crossBetween val="between"/>
      </c:valAx>
      <c:spPr>
        <a:pattFill prst="wdDnDiag">
          <a:fgClr>
            <a:schemeClr val="accent4">
              <a:lumMod val="60000"/>
              <a:lumOff val="40000"/>
            </a:schemeClr>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[pharmacy_otc_sales_data.xlsx]percent of total order by count!PivotTable5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Percent</a:t>
            </a:r>
            <a:r>
              <a:rPr lang="en-US" b="1" u="sng" baseline="0"/>
              <a:t> of Total Orders by Each Country</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tx1"/>
            </a:solidFill>
          </a:ln>
          <a:effectLst/>
        </c:spPr>
      </c:pivotFmt>
      <c:pivotFmt>
        <c:idx val="14"/>
        <c:spPr>
          <a:solidFill>
            <a:schemeClr val="accent1"/>
          </a:solidFill>
          <a:ln w="25400">
            <a:solidFill>
              <a:schemeClr val="tx1"/>
            </a:solidFill>
          </a:ln>
          <a:effectLst/>
        </c:spPr>
      </c:pivotFmt>
      <c:pivotFmt>
        <c:idx val="15"/>
        <c:spPr>
          <a:solidFill>
            <a:schemeClr val="accent1"/>
          </a:solidFill>
          <a:ln w="25400">
            <a:solidFill>
              <a:schemeClr val="tx1"/>
            </a:solidFill>
          </a:ln>
          <a:effectLst/>
        </c:spPr>
      </c:pivotFmt>
      <c:pivotFmt>
        <c:idx val="16"/>
        <c:spPr>
          <a:solidFill>
            <a:schemeClr val="accent1"/>
          </a:solidFill>
          <a:ln w="25400">
            <a:solidFill>
              <a:schemeClr val="tx1"/>
            </a:solidFill>
          </a:ln>
          <a:effectLst/>
        </c:spPr>
      </c:pivotFmt>
      <c:pivotFmt>
        <c:idx val="17"/>
        <c:spPr>
          <a:solidFill>
            <a:schemeClr val="accent1"/>
          </a:solidFill>
          <a:ln w="25400">
            <a:solidFill>
              <a:schemeClr val="tx1"/>
            </a:solidFill>
          </a:ln>
          <a:effectLst/>
        </c:spPr>
      </c:pivotFmt>
      <c:pivotFmt>
        <c:idx val="18"/>
        <c:spPr>
          <a:solidFill>
            <a:schemeClr val="accent1"/>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25400">
            <a:solidFill>
              <a:schemeClr val="tx1"/>
            </a:solidFill>
          </a:ln>
          <a:effectLst/>
        </c:spPr>
      </c:pivotFmt>
      <c:pivotFmt>
        <c:idx val="20"/>
        <c:spPr>
          <a:solidFill>
            <a:schemeClr val="accent1"/>
          </a:solidFill>
          <a:ln w="25400">
            <a:solidFill>
              <a:schemeClr val="tx1"/>
            </a:solidFill>
          </a:ln>
          <a:effectLst/>
        </c:spPr>
      </c:pivotFmt>
      <c:pivotFmt>
        <c:idx val="21"/>
        <c:spPr>
          <a:solidFill>
            <a:schemeClr val="accent1"/>
          </a:solidFill>
          <a:ln w="25400">
            <a:solidFill>
              <a:schemeClr val="tx1"/>
            </a:solidFill>
          </a:ln>
          <a:effectLst/>
        </c:spPr>
      </c:pivotFmt>
      <c:pivotFmt>
        <c:idx val="22"/>
        <c:spPr>
          <a:solidFill>
            <a:schemeClr val="accent1"/>
          </a:solidFill>
          <a:ln w="25400">
            <a:solidFill>
              <a:schemeClr val="tx1"/>
            </a:solidFill>
          </a:ln>
          <a:effectLst/>
        </c:spPr>
      </c:pivotFmt>
      <c:pivotFmt>
        <c:idx val="23"/>
        <c:spPr>
          <a:solidFill>
            <a:schemeClr val="accent1"/>
          </a:solidFill>
          <a:ln w="25400">
            <a:solidFill>
              <a:schemeClr val="tx1"/>
            </a:solidFill>
          </a:ln>
          <a:effectLst/>
        </c:spPr>
      </c:pivotFmt>
      <c:pivotFmt>
        <c:idx val="24"/>
        <c:spPr>
          <a:solidFill>
            <a:schemeClr val="accent1"/>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25400">
            <a:solidFill>
              <a:schemeClr val="tx1"/>
            </a:solidFill>
          </a:ln>
          <a:effectLst/>
        </c:spPr>
      </c:pivotFmt>
      <c:pivotFmt>
        <c:idx val="26"/>
        <c:spPr>
          <a:solidFill>
            <a:schemeClr val="accent1"/>
          </a:solidFill>
          <a:ln w="25400">
            <a:solidFill>
              <a:schemeClr val="tx1"/>
            </a:solidFill>
          </a:ln>
          <a:effectLst/>
        </c:spPr>
      </c:pivotFmt>
      <c:pivotFmt>
        <c:idx val="27"/>
        <c:spPr>
          <a:solidFill>
            <a:schemeClr val="accent1"/>
          </a:solidFill>
          <a:ln w="25400">
            <a:solidFill>
              <a:schemeClr val="tx1"/>
            </a:solidFill>
          </a:ln>
          <a:effectLst/>
        </c:spPr>
      </c:pivotFmt>
      <c:pivotFmt>
        <c:idx val="28"/>
        <c:spPr>
          <a:solidFill>
            <a:schemeClr val="accent1"/>
          </a:solidFill>
          <a:ln w="25400">
            <a:solidFill>
              <a:schemeClr val="tx1"/>
            </a:solidFill>
          </a:ln>
          <a:effectLst/>
        </c:spPr>
      </c:pivotFmt>
      <c:pivotFmt>
        <c:idx val="29"/>
        <c:spPr>
          <a:solidFill>
            <a:schemeClr val="accent1"/>
          </a:solidFill>
          <a:ln w="25400">
            <a:solidFill>
              <a:schemeClr val="tx1"/>
            </a:solidFill>
          </a:ln>
          <a:effectLst/>
        </c:spPr>
      </c:pivotFmt>
    </c:pivotFmts>
    <c:plotArea>
      <c:layout/>
      <c:pieChart>
        <c:varyColors val="1"/>
        <c:ser>
          <c:idx val="0"/>
          <c:order val="0"/>
          <c:tx>
            <c:strRef>
              <c:f>'percent of total order by count'!$B$3</c:f>
              <c:strCache>
                <c:ptCount val="1"/>
                <c:pt idx="0">
                  <c:v>Total</c:v>
                </c:pt>
              </c:strCache>
            </c:strRef>
          </c:tx>
          <c:spPr>
            <a:ln w="25400">
              <a:solidFill>
                <a:schemeClr val="tx1"/>
              </a:solidFill>
            </a:ln>
          </c:spPr>
          <c:dPt>
            <c:idx val="0"/>
            <c:bubble3D val="0"/>
            <c:spPr>
              <a:solidFill>
                <a:schemeClr val="accent1"/>
              </a:solidFill>
              <a:ln w="25400">
                <a:solidFill>
                  <a:schemeClr val="tx1"/>
                </a:solidFill>
              </a:ln>
              <a:effectLst/>
            </c:spPr>
            <c:extLst>
              <c:ext xmlns:c16="http://schemas.microsoft.com/office/drawing/2014/chart" uri="{C3380CC4-5D6E-409C-BE32-E72D297353CC}">
                <c16:uniqueId val="{00000001-9D5E-4ECB-A0B7-E805017A34DB}"/>
              </c:ext>
            </c:extLst>
          </c:dPt>
          <c:dPt>
            <c:idx val="1"/>
            <c:bubble3D val="0"/>
            <c:spPr>
              <a:solidFill>
                <a:schemeClr val="accent2"/>
              </a:solidFill>
              <a:ln w="25400">
                <a:solidFill>
                  <a:schemeClr val="tx1"/>
                </a:solidFill>
              </a:ln>
              <a:effectLst/>
            </c:spPr>
            <c:extLst>
              <c:ext xmlns:c16="http://schemas.microsoft.com/office/drawing/2014/chart" uri="{C3380CC4-5D6E-409C-BE32-E72D297353CC}">
                <c16:uniqueId val="{00000003-9D5E-4ECB-A0B7-E805017A34DB}"/>
              </c:ext>
            </c:extLst>
          </c:dPt>
          <c:dPt>
            <c:idx val="2"/>
            <c:bubble3D val="0"/>
            <c:spPr>
              <a:solidFill>
                <a:schemeClr val="accent3"/>
              </a:solidFill>
              <a:ln w="25400">
                <a:solidFill>
                  <a:schemeClr val="tx1"/>
                </a:solidFill>
              </a:ln>
              <a:effectLst/>
            </c:spPr>
            <c:extLst>
              <c:ext xmlns:c16="http://schemas.microsoft.com/office/drawing/2014/chart" uri="{C3380CC4-5D6E-409C-BE32-E72D297353CC}">
                <c16:uniqueId val="{00000005-9D5E-4ECB-A0B7-E805017A34DB}"/>
              </c:ext>
            </c:extLst>
          </c:dPt>
          <c:dPt>
            <c:idx val="3"/>
            <c:bubble3D val="0"/>
            <c:spPr>
              <a:solidFill>
                <a:schemeClr val="accent4"/>
              </a:solidFill>
              <a:ln w="25400">
                <a:solidFill>
                  <a:schemeClr val="tx1"/>
                </a:solidFill>
              </a:ln>
              <a:effectLst/>
            </c:spPr>
            <c:extLst>
              <c:ext xmlns:c16="http://schemas.microsoft.com/office/drawing/2014/chart" uri="{C3380CC4-5D6E-409C-BE32-E72D297353CC}">
                <c16:uniqueId val="{00000007-9D5E-4ECB-A0B7-E805017A34DB}"/>
              </c:ext>
            </c:extLst>
          </c:dPt>
          <c:dPt>
            <c:idx val="4"/>
            <c:bubble3D val="0"/>
            <c:spPr>
              <a:solidFill>
                <a:schemeClr val="accent5"/>
              </a:solidFill>
              <a:ln w="25400">
                <a:solidFill>
                  <a:schemeClr val="tx1"/>
                </a:solidFill>
              </a:ln>
              <a:effectLst/>
            </c:spPr>
            <c:extLst>
              <c:ext xmlns:c16="http://schemas.microsoft.com/office/drawing/2014/chart" uri="{C3380CC4-5D6E-409C-BE32-E72D297353CC}">
                <c16:uniqueId val="{00000009-9D5E-4ECB-A0B7-E805017A34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'percent of total order by count'!$A$4:$A$9</c:f>
              <c:strCache>
                <c:ptCount val="5"/>
                <c:pt idx="0">
                  <c:v>Australia</c:v>
                </c:pt>
                <c:pt idx="1">
                  <c:v>Canada</c:v>
                </c:pt>
                <c:pt idx="2">
                  <c:v>India</c:v>
                </c:pt>
                <c:pt idx="3">
                  <c:v>UK</c:v>
                </c:pt>
                <c:pt idx="4">
                  <c:v>USA</c:v>
                </c:pt>
              </c:strCache>
            </c:strRef>
          </c:cat>
          <c:val>
            <c:numRef>
              <c:f>'percent of total order by count'!$B$4:$B$9</c:f>
              <c:numCache>
                <c:formatCode>General</c:formatCode>
                <c:ptCount val="5"/>
                <c:pt idx="0">
                  <c:v>587</c:v>
                </c:pt>
                <c:pt idx="1">
                  <c:v>689</c:v>
                </c:pt>
                <c:pt idx="2">
                  <c:v>665</c:v>
                </c:pt>
                <c:pt idx="3">
                  <c:v>752</c:v>
                </c:pt>
                <c:pt idx="4">
                  <c:v>795</c:v>
                </c:pt>
              </c:numCache>
            </c:numRef>
          </c:val>
          <c:extLst>
            <c:ext xmlns:c16="http://schemas.microsoft.com/office/drawing/2014/chart" uri="{C3380CC4-5D6E-409C-BE32-E72D297353CC}">
              <c16:uniqueId val="{0000000A-9D5E-4ECB-A0B7-E805017A34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[pharmacy_otc_sales_data.xlsx]Employess wise total sales!PivotTable1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Employee</a:t>
            </a:r>
            <a:r>
              <a:rPr lang="en-US" b="1" u="sng" baseline="0"/>
              <a:t> Wise Total Sales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'Employess wise total sales'!$B$3</c:f>
              <c:strCache>
                <c:ptCount val="1"/>
                <c:pt idx="0">
                  <c:v>Total</c:v>
                </c:pt>
              </c:strCache>
            </c:strRef>
          </c:tx>
          <c:spPr>
            <a:solidFill>
              <a:schemeClr val="accent1"/>
            </a:solidFill>
            <a:ln w="38100">
              <a:solidFill>
                <a:schemeClr val="tx1"/>
              </a:solidFill>
            </a:ln>
            <a:effectLst/>
          </c:spPr>
          <c:invertIfNegative val="0"/>
          <c:cat>
            <c:strRef>
              <c:f>'Employess wise total sales'!$A$4:$A$11</c:f>
              <c:strCache>
                <c:ptCount val="7"/>
                <c:pt idx="0">
                  <c:v>Aman Verma</c:v>
                </c:pt>
                <c:pt idx="1">
                  <c:v>Divya Mehra</c:v>
                </c:pt>
                <c:pt idx="2">
                  <c:v>Nikhil Batra</c:v>
                </c:pt>
                <c:pt idx="3">
                  <c:v>Priya Singh</c:v>
                </c:pt>
                <c:pt idx="4">
                  <c:v>Rajesh Patel</c:v>
                </c:pt>
                <c:pt idx="5">
                  <c:v>Ritika Shah</c:v>
                </c:pt>
                <c:pt idx="6">
                  <c:v>Sneha Iyer</c:v>
                </c:pt>
              </c:strCache>
            </c:strRef>
          </c:cat>
          <c:val>
            <c:numRef>
              <c:f>'Employess wise total sales'!$B$4:$B$11</c:f>
              <c:numCache>
                <c:formatCode>General</c:formatCode>
                <c:ptCount val="7"/>
                <c:pt idx="0">
                  <c:v>7039.07</c:v>
                </c:pt>
                <c:pt idx="1">
                  <c:v>6896.1499999999987</c:v>
                </c:pt>
                <c:pt idx="2">
                  <c:v>10416.34</c:v>
                </c:pt>
                <c:pt idx="3">
                  <c:v>9121.7800000000043</c:v>
                </c:pt>
                <c:pt idx="4">
                  <c:v>11023.530000000002</c:v>
                </c:pt>
                <c:pt idx="5">
                  <c:v>7945.9699999999993</c:v>
                </c:pt>
                <c:pt idx="6">
                  <c:v>6486.45</c:v>
                </c:pt>
              </c:numCache>
            </c:numRef>
          </c:val>
          <c:extLst>
            <c:ext xmlns:c16="http://schemas.microsoft.com/office/drawing/2014/chart" uri="{C3380CC4-5D6E-409C-BE32-E72D297353CC}">
              <c16:uniqueId val="{00000000-0F1E-4D76-990B-5935027DFDDB}"/>
            </c:ext>
          </c:extLst>
        </c:ser>
        <c:dLbls>
          <c:showLegendKey val="0"/>
          <c:showVal val="0"/>
          <c:showCatName val="0"/>
          <c:showSerName val="0"/>
          <c:showPercent val="0"/>
          <c:showBubbleSize val="0"/>
        </c:dLbls>
        <c:gapWidth val="219"/>
        <c:overlap val="-27"/>
        <c:axId val="492424383"/>
        <c:axId val="492424863"/>
      </c:barChart>
      <c:catAx>
        <c:axId val="49242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Employee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24863"/>
        <c:crosses val="autoZero"/>
        <c:auto val="1"/>
        <c:lblAlgn val="ctr"/>
        <c:lblOffset val="100"/>
        <c:noMultiLvlLbl val="0"/>
      </c:catAx>
      <c:valAx>
        <c:axId val="492424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24383"/>
        <c:crosses val="autoZero"/>
        <c:crossBetween val="between"/>
      </c:valAx>
      <c:spPr>
        <a:pattFill prst="wdDnDiag">
          <a:fgClr>
            <a:schemeClr val="accent4">
              <a:lumMod val="60000"/>
              <a:lumOff val="40000"/>
            </a:schemeClr>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[pharmacy_otc_sales_data.xlsx]Product wise orders placed!PivotTable6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Product wise Orders Placed</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38100">
            <a:solidFill>
              <a:schemeClr val="tx1"/>
            </a:solid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283639478520634"/>
          <c:y val="0.21698855351414403"/>
          <c:w val="0.75299386711938954"/>
          <c:h val="0.57485017497812774"/>
        </c:manualLayout>
      </c:layout>
      <c:barChart>
        <c:barDir val="col"/>
        <c:grouping val="stacked"/>
        <c:varyColors val="0"/>
        <c:ser>
          <c:idx val="0"/>
          <c:order val="0"/>
          <c:tx>
            <c:strRef>
              <c:f>'Product wise orders placed'!$B$3</c:f>
              <c:strCache>
                <c:ptCount val="1"/>
                <c:pt idx="0">
                  <c:v>Total</c:v>
                </c:pt>
              </c:strCache>
            </c:strRef>
          </c:tx>
          <c:spPr>
            <a:solidFill>
              <a:schemeClr val="accent1"/>
            </a:solidFill>
            <a:ln w="38100">
              <a:solidFill>
                <a:schemeClr val="tx1"/>
              </a:solidFill>
            </a:ln>
            <a:effectLst/>
          </c:spPr>
          <c:invertIfNegative val="0"/>
          <c:cat>
            <c:strRef>
              <c:f>'Product wise orders placed'!$A$4:$A$11</c:f>
              <c:strCache>
                <c:ptCount val="7"/>
                <c:pt idx="0">
                  <c:v>Allergy Pills</c:v>
                </c:pt>
                <c:pt idx="1">
                  <c:v>Antiseptic Cream</c:v>
                </c:pt>
                <c:pt idx="2">
                  <c:v>Cough Syrup</c:v>
                </c:pt>
                <c:pt idx="3">
                  <c:v>Digestive Enzyme</c:v>
                </c:pt>
                <c:pt idx="4">
                  <c:v>Eye Drops</c:v>
                </c:pt>
                <c:pt idx="5">
                  <c:v>Nasal Spray</c:v>
                </c:pt>
                <c:pt idx="6">
                  <c:v>Pain Relief Tablets</c:v>
                </c:pt>
              </c:strCache>
            </c:strRef>
          </c:cat>
          <c:val>
            <c:numRef>
              <c:f>'Product wise orders placed'!$B$4:$B$11</c:f>
              <c:numCache>
                <c:formatCode>General</c:formatCode>
                <c:ptCount val="7"/>
                <c:pt idx="0">
                  <c:v>518</c:v>
                </c:pt>
                <c:pt idx="1">
                  <c:v>573</c:v>
                </c:pt>
                <c:pt idx="2">
                  <c:v>484</c:v>
                </c:pt>
                <c:pt idx="3">
                  <c:v>612</c:v>
                </c:pt>
                <c:pt idx="4">
                  <c:v>458</c:v>
                </c:pt>
                <c:pt idx="5">
                  <c:v>489</c:v>
                </c:pt>
                <c:pt idx="6">
                  <c:v>354</c:v>
                </c:pt>
              </c:numCache>
            </c:numRef>
          </c:val>
          <c:extLst>
            <c:ext xmlns:c16="http://schemas.microsoft.com/office/drawing/2014/chart" uri="{C3380CC4-5D6E-409C-BE32-E72D297353CC}">
              <c16:uniqueId val="{00000002-E2F7-40BB-AD3D-63EF54E98DB7}"/>
            </c:ext>
          </c:extLst>
        </c:ser>
        <c:dLbls>
          <c:showLegendKey val="0"/>
          <c:showVal val="0"/>
          <c:showCatName val="0"/>
          <c:showSerName val="0"/>
          <c:showPercent val="0"/>
          <c:showBubbleSize val="0"/>
        </c:dLbls>
        <c:gapWidth val="150"/>
        <c:overlap val="100"/>
        <c:axId val="802913247"/>
        <c:axId val="802914687"/>
      </c:barChart>
      <c:catAx>
        <c:axId val="802913247"/>
        <c:scaling>
          <c:orientation val="minMax"/>
        </c:scaling>
        <c:delete val="0"/>
        <c:axPos val="b"/>
        <c:title>
          <c:tx>
            <c:rich>
              <a:bodyPr/>
              <a:lstStyle/>
              <a:p>
                <a:pPr>
                  <a:defRPr/>
                </a:pPr>
                <a:r>
                  <a:rPr lang="en-IN"/>
                  <a:t>Products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14687"/>
        <c:crosses val="autoZero"/>
        <c:auto val="1"/>
        <c:lblAlgn val="ctr"/>
        <c:lblOffset val="100"/>
        <c:noMultiLvlLbl val="0"/>
      </c:catAx>
      <c:valAx>
        <c:axId val="802914687"/>
        <c:scaling>
          <c:orientation val="minMax"/>
        </c:scaling>
        <c:delete val="0"/>
        <c:axPos val="l"/>
        <c:title>
          <c:tx>
            <c:rich>
              <a:bodyPr/>
              <a:lstStyle/>
              <a:p>
                <a:pPr>
                  <a:defRPr/>
                </a:pPr>
                <a:r>
                  <a:rPr lang="en-IN"/>
                  <a:t>Total Orders</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13247"/>
        <c:crosses val="autoZero"/>
        <c:crossBetween val="between"/>
      </c:valAx>
      <c:spPr>
        <a:pattFill prst="wdDnDiag">
          <a:fgClr>
            <a:schemeClr val="accent4">
              <a:lumMod val="60000"/>
              <a:lumOff val="40000"/>
            </a:schemeClr>
          </a:fgClr>
          <a:bgClr>
            <a:schemeClr val="bg1"/>
          </a:bgClr>
        </a:patt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2">
        <a:alpha val="50000"/>
      </a:schemeClr>
    </a:solidFill>
    <a:ln w="38100">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[pharmacy_otc_sales_data.xlsx]total sales of drugs!PivotTable1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Product</a:t>
            </a:r>
            <a:r>
              <a:rPr lang="en-US" b="1" u="sng" baseline="0"/>
              <a:t> Wise Total Sales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'total sales of drugs'!$B$3</c:f>
              <c:strCache>
                <c:ptCount val="1"/>
                <c:pt idx="0">
                  <c:v>Total</c:v>
                </c:pt>
              </c:strCache>
            </c:strRef>
          </c:tx>
          <c:spPr>
            <a:solidFill>
              <a:schemeClr val="accent1"/>
            </a:solidFill>
            <a:ln w="38100">
              <a:solidFill>
                <a:schemeClr val="tx1"/>
              </a:solidFill>
            </a:ln>
            <a:effectLst/>
          </c:spPr>
          <c:invertIfNegative val="0"/>
          <c:cat>
            <c:strRef>
              <c:f>'total sales of drugs'!$A$4:$A$11</c:f>
              <c:strCache>
                <c:ptCount val="7"/>
                <c:pt idx="0">
                  <c:v>Allergy Pills</c:v>
                </c:pt>
                <c:pt idx="1">
                  <c:v>Antiseptic Cream</c:v>
                </c:pt>
                <c:pt idx="2">
                  <c:v>Cough Syrup</c:v>
                </c:pt>
                <c:pt idx="3">
                  <c:v>Digestive Enzyme</c:v>
                </c:pt>
                <c:pt idx="4">
                  <c:v>Eye Drops</c:v>
                </c:pt>
                <c:pt idx="5">
                  <c:v>Nasal Spray</c:v>
                </c:pt>
                <c:pt idx="6">
                  <c:v>Pain Relief Tablets</c:v>
                </c:pt>
              </c:strCache>
            </c:strRef>
          </c:cat>
          <c:val>
            <c:numRef>
              <c:f>'total sales of drugs'!$B$4:$B$11</c:f>
              <c:numCache>
                <c:formatCode>General</c:formatCode>
                <c:ptCount val="7"/>
                <c:pt idx="0">
                  <c:v>7782.5799999999972</c:v>
                </c:pt>
                <c:pt idx="1">
                  <c:v>9736.2800000000007</c:v>
                </c:pt>
                <c:pt idx="2">
                  <c:v>7917.0100000000011</c:v>
                </c:pt>
                <c:pt idx="3">
                  <c:v>11056.61</c:v>
                </c:pt>
                <c:pt idx="4">
                  <c:v>8036.3600000000006</c:v>
                </c:pt>
                <c:pt idx="5">
                  <c:v>8407.3599999999988</c:v>
                </c:pt>
                <c:pt idx="6">
                  <c:v>5993.0900000000011</c:v>
                </c:pt>
              </c:numCache>
            </c:numRef>
          </c:val>
          <c:extLst>
            <c:ext xmlns:c16="http://schemas.microsoft.com/office/drawing/2014/chart" uri="{C3380CC4-5D6E-409C-BE32-E72D297353CC}">
              <c16:uniqueId val="{00000000-4783-4AE7-A775-18EEDC20220B}"/>
            </c:ext>
          </c:extLst>
        </c:ser>
        <c:dLbls>
          <c:showLegendKey val="0"/>
          <c:showVal val="0"/>
          <c:showCatName val="0"/>
          <c:showSerName val="0"/>
          <c:showPercent val="0"/>
          <c:showBubbleSize val="0"/>
        </c:dLbls>
        <c:gapWidth val="150"/>
        <c:overlap val="100"/>
        <c:axId val="802913247"/>
        <c:axId val="802914687"/>
      </c:barChart>
      <c:catAx>
        <c:axId val="80291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14687"/>
        <c:crosses val="autoZero"/>
        <c:auto val="1"/>
        <c:lblAlgn val="ctr"/>
        <c:lblOffset val="100"/>
        <c:noMultiLvlLbl val="0"/>
      </c:catAx>
      <c:valAx>
        <c:axId val="802914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13247"/>
        <c:crosses val="autoZero"/>
        <c:crossBetween val="between"/>
      </c:valAx>
      <c:spPr>
        <a:pattFill prst="wdDnDiag">
          <a:fgClr>
            <a:schemeClr val="accent4">
              <a:lumMod val="60000"/>
              <a:lumOff val="40000"/>
            </a:schemeClr>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[pharmacy_otc_sales_data.xlsx]Monthly trend of sales of drugs!PivotTable2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Monthly</a:t>
            </a:r>
            <a:r>
              <a:rPr lang="en-US" b="1" u="sng" baseline="0"/>
              <a:t> Trend of Overall Sales of Drugs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 of sales of drugs'!$B$3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25400" cap="rnd">
                <a:solidFill>
                  <a:schemeClr val="tx1"/>
                </a:solidFill>
                <a:prstDash val="sysDot"/>
              </a:ln>
              <a:effectLst/>
            </c:spPr>
            <c:trendlineType val="linear"/>
            <c:dispRSqr val="0"/>
            <c:dispEq val="0"/>
          </c:trendline>
          <c:cat>
            <c:strRef>
              <c:f>'Monthly trend of sales of drugs'!$A$4:$A$12</c:f>
              <c:strCache>
                <c:ptCount val="8"/>
                <c:pt idx="0">
                  <c:v>January</c:v>
                </c:pt>
                <c:pt idx="1">
                  <c:v>February</c:v>
                </c:pt>
                <c:pt idx="2">
                  <c:v>March</c:v>
                </c:pt>
                <c:pt idx="3">
                  <c:v>April</c:v>
                </c:pt>
                <c:pt idx="4">
                  <c:v>May</c:v>
                </c:pt>
                <c:pt idx="5">
                  <c:v>June</c:v>
                </c:pt>
                <c:pt idx="6">
                  <c:v>July</c:v>
                </c:pt>
                <c:pt idx="7">
                  <c:v>August</c:v>
                </c:pt>
              </c:strCache>
            </c:strRef>
          </c:cat>
          <c:val>
            <c:numRef>
              <c:f>'Monthly trend of sales of drugs'!$B$4:$B$12</c:f>
              <c:numCache>
                <c:formatCode>0.00</c:formatCode>
                <c:ptCount val="8"/>
                <c:pt idx="0">
                  <c:v>5536.3900000000012</c:v>
                </c:pt>
                <c:pt idx="1">
                  <c:v>7451.5000000000009</c:v>
                </c:pt>
                <c:pt idx="2">
                  <c:v>7062.15</c:v>
                </c:pt>
                <c:pt idx="3">
                  <c:v>7339.1499999999987</c:v>
                </c:pt>
                <c:pt idx="4">
                  <c:v>8884.9999999999982</c:v>
                </c:pt>
                <c:pt idx="5">
                  <c:v>7019.5599999999995</c:v>
                </c:pt>
                <c:pt idx="6">
                  <c:v>8754.4399999999987</c:v>
                </c:pt>
                <c:pt idx="7">
                  <c:v>6881.0999999999976</c:v>
                </c:pt>
              </c:numCache>
            </c:numRef>
          </c:val>
          <c:smooth val="0"/>
          <c:extLst>
            <c:ext xmlns:c16="http://schemas.microsoft.com/office/drawing/2014/chart" uri="{C3380CC4-5D6E-409C-BE32-E72D297353CC}">
              <c16:uniqueId val="{00000000-39D5-496E-8DFA-10B4E4218589}"/>
            </c:ext>
          </c:extLst>
        </c:ser>
        <c:dLbls>
          <c:showLegendKey val="0"/>
          <c:showVal val="0"/>
          <c:showCatName val="0"/>
          <c:showSerName val="0"/>
          <c:showPercent val="0"/>
          <c:showBubbleSize val="0"/>
        </c:dLbls>
        <c:marker val="1"/>
        <c:smooth val="0"/>
        <c:axId val="802964607"/>
        <c:axId val="802965087"/>
      </c:lineChart>
      <c:catAx>
        <c:axId val="80296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65087"/>
        <c:crosses val="autoZero"/>
        <c:auto val="1"/>
        <c:lblAlgn val="ctr"/>
        <c:lblOffset val="100"/>
        <c:noMultiLvlLbl val="0"/>
      </c:catAx>
      <c:valAx>
        <c:axId val="802965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a:t>
                </a:r>
                <a:r>
                  <a:rPr lang="en-IN" b="1" baseline="0"/>
                  <a:t> Sales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64607"/>
        <c:crosses val="autoZero"/>
        <c:crossBetween val="between"/>
      </c:valAx>
      <c:spPr>
        <a:pattFill prst="wdDnDiag">
          <a:fgClr>
            <a:schemeClr val="accent4">
              <a:lumMod val="60000"/>
              <a:lumOff val="40000"/>
            </a:schemeClr>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[pharmacy_otc_sales_data.xlsx]Weekly trend of sales!PivotTable4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Weekly</a:t>
            </a:r>
            <a:r>
              <a:rPr lang="en-US" b="1" u="sng" baseline="0"/>
              <a:t> Trend of Overall Sales of Drugs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trend of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25400" cap="rnd">
                <a:solidFill>
                  <a:schemeClr val="tx1"/>
                </a:solidFill>
                <a:prstDash val="sysDot"/>
              </a:ln>
              <a:effectLst/>
            </c:spPr>
            <c:trendlineType val="linear"/>
            <c:dispRSqr val="0"/>
            <c:dispEq val="0"/>
          </c:trendline>
          <c:cat>
            <c:strRef>
              <c:f>'Weekly trend of sales'!$A$4:$A$11</c:f>
              <c:strCache>
                <c:ptCount val="7"/>
                <c:pt idx="0">
                  <c:v>Sunday</c:v>
                </c:pt>
                <c:pt idx="1">
                  <c:v>Monday</c:v>
                </c:pt>
                <c:pt idx="2">
                  <c:v>Tuesday</c:v>
                </c:pt>
                <c:pt idx="3">
                  <c:v>Wednesday</c:v>
                </c:pt>
                <c:pt idx="4">
                  <c:v>Thursday</c:v>
                </c:pt>
                <c:pt idx="5">
                  <c:v>Friday</c:v>
                </c:pt>
                <c:pt idx="6">
                  <c:v>Saturday</c:v>
                </c:pt>
              </c:strCache>
            </c:strRef>
          </c:cat>
          <c:val>
            <c:numRef>
              <c:f>'Weekly trend of sales'!$B$4:$B$11</c:f>
              <c:numCache>
                <c:formatCode>General</c:formatCode>
                <c:ptCount val="7"/>
                <c:pt idx="0">
                  <c:v>8629.0799999999981</c:v>
                </c:pt>
                <c:pt idx="1">
                  <c:v>7349.64</c:v>
                </c:pt>
                <c:pt idx="2">
                  <c:v>7251.7199999999993</c:v>
                </c:pt>
                <c:pt idx="3">
                  <c:v>9367.340000000002</c:v>
                </c:pt>
                <c:pt idx="4">
                  <c:v>7690.7299999999977</c:v>
                </c:pt>
                <c:pt idx="5">
                  <c:v>10651.28</c:v>
                </c:pt>
                <c:pt idx="6">
                  <c:v>7989.5</c:v>
                </c:pt>
              </c:numCache>
            </c:numRef>
          </c:val>
          <c:smooth val="0"/>
          <c:extLst>
            <c:ext xmlns:c16="http://schemas.microsoft.com/office/drawing/2014/chart" uri="{C3380CC4-5D6E-409C-BE32-E72D297353CC}">
              <c16:uniqueId val="{00000000-22BF-4869-ABAC-B0CCB04D5C98}"/>
            </c:ext>
          </c:extLst>
        </c:ser>
        <c:dLbls>
          <c:showLegendKey val="0"/>
          <c:showVal val="0"/>
          <c:showCatName val="0"/>
          <c:showSerName val="0"/>
          <c:showPercent val="0"/>
          <c:showBubbleSize val="0"/>
        </c:dLbls>
        <c:marker val="1"/>
        <c:smooth val="0"/>
        <c:axId val="802930527"/>
        <c:axId val="802935327"/>
      </c:lineChart>
      <c:catAx>
        <c:axId val="80293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35327"/>
        <c:crosses val="autoZero"/>
        <c:auto val="1"/>
        <c:lblAlgn val="ctr"/>
        <c:lblOffset val="100"/>
        <c:noMultiLvlLbl val="0"/>
      </c:catAx>
      <c:valAx>
        <c:axId val="8029353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a:t>
                </a:r>
                <a:r>
                  <a:rPr lang="en-IN" b="1" baseline="0"/>
                  <a:t> Sales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30527"/>
        <c:crosses val="autoZero"/>
        <c:crossBetween val="between"/>
      </c:valAx>
      <c:spPr>
        <a:pattFill prst="wdDnDiag">
          <a:fgClr>
            <a:schemeClr val="accent4">
              <a:lumMod val="60000"/>
              <a:lumOff val="40000"/>
            </a:schemeClr>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[pharmacy_otc_sales_data.xlsx]percent of total order by count!PivotTable5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Percent</a:t>
            </a:r>
            <a:r>
              <a:rPr lang="en-US" b="1" u="sng" baseline="0"/>
              <a:t> of Total Orders by Each Country</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tx1"/>
            </a:solidFill>
          </a:ln>
          <a:effectLst/>
        </c:spPr>
      </c:pivotFmt>
      <c:pivotFmt>
        <c:idx val="14"/>
        <c:spPr>
          <a:solidFill>
            <a:schemeClr val="accent1"/>
          </a:solidFill>
          <a:ln w="25400">
            <a:solidFill>
              <a:schemeClr val="tx1"/>
            </a:solidFill>
          </a:ln>
          <a:effectLst/>
        </c:spPr>
      </c:pivotFmt>
      <c:pivotFmt>
        <c:idx val="15"/>
        <c:spPr>
          <a:solidFill>
            <a:schemeClr val="accent1"/>
          </a:solidFill>
          <a:ln w="25400">
            <a:solidFill>
              <a:schemeClr val="tx1"/>
            </a:solidFill>
          </a:ln>
          <a:effectLst/>
        </c:spPr>
      </c:pivotFmt>
      <c:pivotFmt>
        <c:idx val="16"/>
        <c:spPr>
          <a:solidFill>
            <a:schemeClr val="accent1"/>
          </a:solidFill>
          <a:ln w="25400">
            <a:solidFill>
              <a:schemeClr val="tx1"/>
            </a:solidFill>
          </a:ln>
          <a:effectLst/>
        </c:spPr>
      </c:pivotFmt>
      <c:pivotFmt>
        <c:idx val="17"/>
        <c:spPr>
          <a:solidFill>
            <a:schemeClr val="accent1"/>
          </a:solidFill>
          <a:ln w="25400">
            <a:solidFill>
              <a:schemeClr val="tx1"/>
            </a:solidFill>
          </a:ln>
          <a:effectLst/>
        </c:spPr>
      </c:pivotFmt>
    </c:pivotFmts>
    <c:plotArea>
      <c:layout/>
      <c:pieChart>
        <c:varyColors val="1"/>
        <c:ser>
          <c:idx val="0"/>
          <c:order val="0"/>
          <c:tx>
            <c:strRef>
              <c:f>'percent of total order by count'!$B$3</c:f>
              <c:strCache>
                <c:ptCount val="1"/>
                <c:pt idx="0">
                  <c:v>Total</c:v>
                </c:pt>
              </c:strCache>
            </c:strRef>
          </c:tx>
          <c:spPr>
            <a:ln w="25400">
              <a:solidFill>
                <a:schemeClr val="tx1"/>
              </a:solidFill>
            </a:ln>
          </c:spPr>
          <c:dPt>
            <c:idx val="0"/>
            <c:bubble3D val="0"/>
            <c:spPr>
              <a:solidFill>
                <a:schemeClr val="accent1"/>
              </a:solidFill>
              <a:ln w="25400">
                <a:solidFill>
                  <a:schemeClr val="tx1"/>
                </a:solidFill>
              </a:ln>
              <a:effectLst/>
            </c:spPr>
            <c:extLst>
              <c:ext xmlns:c16="http://schemas.microsoft.com/office/drawing/2014/chart" uri="{C3380CC4-5D6E-409C-BE32-E72D297353CC}">
                <c16:uniqueId val="{00000001-6BFC-420A-82C6-7DA93AD98523}"/>
              </c:ext>
            </c:extLst>
          </c:dPt>
          <c:dPt>
            <c:idx val="1"/>
            <c:bubble3D val="0"/>
            <c:spPr>
              <a:solidFill>
                <a:schemeClr val="accent2"/>
              </a:solidFill>
              <a:ln w="25400">
                <a:solidFill>
                  <a:schemeClr val="tx1"/>
                </a:solidFill>
              </a:ln>
              <a:effectLst/>
            </c:spPr>
            <c:extLst>
              <c:ext xmlns:c16="http://schemas.microsoft.com/office/drawing/2014/chart" uri="{C3380CC4-5D6E-409C-BE32-E72D297353CC}">
                <c16:uniqueId val="{00000003-6BFC-420A-82C6-7DA93AD98523}"/>
              </c:ext>
            </c:extLst>
          </c:dPt>
          <c:dPt>
            <c:idx val="2"/>
            <c:bubble3D val="0"/>
            <c:spPr>
              <a:solidFill>
                <a:schemeClr val="accent3"/>
              </a:solidFill>
              <a:ln w="25400">
                <a:solidFill>
                  <a:schemeClr val="tx1"/>
                </a:solidFill>
              </a:ln>
              <a:effectLst/>
            </c:spPr>
            <c:extLst>
              <c:ext xmlns:c16="http://schemas.microsoft.com/office/drawing/2014/chart" uri="{C3380CC4-5D6E-409C-BE32-E72D297353CC}">
                <c16:uniqueId val="{00000005-6BFC-420A-82C6-7DA93AD98523}"/>
              </c:ext>
            </c:extLst>
          </c:dPt>
          <c:dPt>
            <c:idx val="3"/>
            <c:bubble3D val="0"/>
            <c:spPr>
              <a:solidFill>
                <a:schemeClr val="accent4"/>
              </a:solidFill>
              <a:ln w="25400">
                <a:solidFill>
                  <a:schemeClr val="tx1"/>
                </a:solidFill>
              </a:ln>
              <a:effectLst/>
            </c:spPr>
            <c:extLst>
              <c:ext xmlns:c16="http://schemas.microsoft.com/office/drawing/2014/chart" uri="{C3380CC4-5D6E-409C-BE32-E72D297353CC}">
                <c16:uniqueId val="{00000007-6BFC-420A-82C6-7DA93AD98523}"/>
              </c:ext>
            </c:extLst>
          </c:dPt>
          <c:dPt>
            <c:idx val="4"/>
            <c:bubble3D val="0"/>
            <c:spPr>
              <a:solidFill>
                <a:schemeClr val="accent5"/>
              </a:solidFill>
              <a:ln w="25400">
                <a:solidFill>
                  <a:schemeClr val="tx1"/>
                </a:solidFill>
              </a:ln>
              <a:effectLst/>
            </c:spPr>
            <c:extLst>
              <c:ext xmlns:c16="http://schemas.microsoft.com/office/drawing/2014/chart" uri="{C3380CC4-5D6E-409C-BE32-E72D297353CC}">
                <c16:uniqueId val="{00000009-6BFC-420A-82C6-7DA93AD985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'percent of total order by count'!$A$4:$A$9</c:f>
              <c:strCache>
                <c:ptCount val="5"/>
                <c:pt idx="0">
                  <c:v>Australia</c:v>
                </c:pt>
                <c:pt idx="1">
                  <c:v>Canada</c:v>
                </c:pt>
                <c:pt idx="2">
                  <c:v>India</c:v>
                </c:pt>
                <c:pt idx="3">
                  <c:v>UK</c:v>
                </c:pt>
                <c:pt idx="4">
                  <c:v>USA</c:v>
                </c:pt>
              </c:strCache>
            </c:strRef>
          </c:cat>
          <c:val>
            <c:numRef>
              <c:f>'percent of total order by count'!$B$4:$B$9</c:f>
              <c:numCache>
                <c:formatCode>General</c:formatCode>
                <c:ptCount val="5"/>
                <c:pt idx="0">
                  <c:v>587</c:v>
                </c:pt>
                <c:pt idx="1">
                  <c:v>689</c:v>
                </c:pt>
                <c:pt idx="2">
                  <c:v>665</c:v>
                </c:pt>
                <c:pt idx="3">
                  <c:v>752</c:v>
                </c:pt>
                <c:pt idx="4">
                  <c:v>795</c:v>
                </c:pt>
              </c:numCache>
            </c:numRef>
          </c:val>
          <c:extLst>
            <c:ext xmlns:c16="http://schemas.microsoft.com/office/drawing/2014/chart" uri="{C3380CC4-5D6E-409C-BE32-E72D297353CC}">
              <c16:uniqueId val="{0000000A-6BFC-420A-82C6-7DA93AD985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[pharmacy_otc_sales_data.xlsx]Employess wise total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Employee</a:t>
            </a:r>
            <a:r>
              <a:rPr lang="en-US" b="1" u="sng" baseline="0"/>
              <a:t> Wise Total Sales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'Employess wise total sales'!$B$3</c:f>
              <c:strCache>
                <c:ptCount val="1"/>
                <c:pt idx="0">
                  <c:v>Total</c:v>
                </c:pt>
              </c:strCache>
            </c:strRef>
          </c:tx>
          <c:spPr>
            <a:solidFill>
              <a:schemeClr val="accent1"/>
            </a:solidFill>
            <a:ln w="38100">
              <a:solidFill>
                <a:schemeClr val="tx1"/>
              </a:solidFill>
            </a:ln>
            <a:effectLst/>
          </c:spPr>
          <c:invertIfNegative val="0"/>
          <c:cat>
            <c:strRef>
              <c:f>'Employess wise total sales'!$A$4:$A$11</c:f>
              <c:strCache>
                <c:ptCount val="7"/>
                <c:pt idx="0">
                  <c:v>Aman Verma</c:v>
                </c:pt>
                <c:pt idx="1">
                  <c:v>Divya Mehra</c:v>
                </c:pt>
                <c:pt idx="2">
                  <c:v>Nikhil Batra</c:v>
                </c:pt>
                <c:pt idx="3">
                  <c:v>Priya Singh</c:v>
                </c:pt>
                <c:pt idx="4">
                  <c:v>Rajesh Patel</c:v>
                </c:pt>
                <c:pt idx="5">
                  <c:v>Ritika Shah</c:v>
                </c:pt>
                <c:pt idx="6">
                  <c:v>Sneha Iyer</c:v>
                </c:pt>
              </c:strCache>
            </c:strRef>
          </c:cat>
          <c:val>
            <c:numRef>
              <c:f>'Employess wise total sales'!$B$4:$B$11</c:f>
              <c:numCache>
                <c:formatCode>General</c:formatCode>
                <c:ptCount val="7"/>
                <c:pt idx="0">
                  <c:v>7039.07</c:v>
                </c:pt>
                <c:pt idx="1">
                  <c:v>6896.1499999999987</c:v>
                </c:pt>
                <c:pt idx="2">
                  <c:v>10416.34</c:v>
                </c:pt>
                <c:pt idx="3">
                  <c:v>9121.7800000000043</c:v>
                </c:pt>
                <c:pt idx="4">
                  <c:v>11023.530000000002</c:v>
                </c:pt>
                <c:pt idx="5">
                  <c:v>7945.9699999999993</c:v>
                </c:pt>
                <c:pt idx="6">
                  <c:v>6486.45</c:v>
                </c:pt>
              </c:numCache>
            </c:numRef>
          </c:val>
          <c:extLst>
            <c:ext xmlns:c16="http://schemas.microsoft.com/office/drawing/2014/chart" uri="{C3380CC4-5D6E-409C-BE32-E72D297353CC}">
              <c16:uniqueId val="{00000000-D55E-4308-A2D1-E1FDC2ED2B06}"/>
            </c:ext>
          </c:extLst>
        </c:ser>
        <c:dLbls>
          <c:showLegendKey val="0"/>
          <c:showVal val="0"/>
          <c:showCatName val="0"/>
          <c:showSerName val="0"/>
          <c:showPercent val="0"/>
          <c:showBubbleSize val="0"/>
        </c:dLbls>
        <c:gapWidth val="219"/>
        <c:overlap val="-27"/>
        <c:axId val="492424383"/>
        <c:axId val="492424863"/>
      </c:barChart>
      <c:catAx>
        <c:axId val="49242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Employee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24863"/>
        <c:crosses val="autoZero"/>
        <c:auto val="1"/>
        <c:lblAlgn val="ctr"/>
        <c:lblOffset val="100"/>
        <c:noMultiLvlLbl val="0"/>
      </c:catAx>
      <c:valAx>
        <c:axId val="492424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24383"/>
        <c:crosses val="autoZero"/>
        <c:crossBetween val="between"/>
      </c:valAx>
      <c:spPr>
        <a:pattFill prst="wdDnDiag">
          <a:fgClr>
            <a:schemeClr val="accent4">
              <a:lumMod val="60000"/>
              <a:lumOff val="40000"/>
            </a:schemeClr>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alpha val="50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167640</xdr:colOff>
      <xdr:row>12</xdr:row>
      <xdr:rowOff>175260</xdr:rowOff>
    </xdr:from>
    <xdr:to>
      <xdr:col>5</xdr:col>
      <xdr:colOff>114300</xdr:colOff>
      <xdr:row>20</xdr:row>
      <xdr:rowOff>7620</xdr:rowOff>
    </xdr:to>
    <xdr:sp macro="" textlink="">
      <xdr:nvSpPr>
        <xdr:cNvPr id="3" name="TextBox 2">
          <a:extLst>
            <a:ext uri="{FF2B5EF4-FFF2-40B4-BE49-F238E27FC236}">
              <a16:creationId xmlns:a16="http://schemas.microsoft.com/office/drawing/2014/main" id="{79C22E32-AE23-43AA-B79B-4DBF9E1D8465}"/>
            </a:ext>
          </a:extLst>
        </xdr:cNvPr>
        <xdr:cNvSpPr txBox="1"/>
      </xdr:nvSpPr>
      <xdr:spPr>
        <a:xfrm>
          <a:off x="167640" y="2369820"/>
          <a:ext cx="4236720" cy="129540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Hypothesis 1</a:t>
          </a:r>
          <a:r>
            <a:rPr lang="en-IN" sz="1200"/>
            <a:t>:There</a:t>
          </a:r>
          <a:r>
            <a:rPr lang="en-IN" sz="1200" baseline="0"/>
            <a:t> are some products which has least orders placed.</a:t>
          </a:r>
        </a:p>
        <a:p>
          <a:endParaRPr lang="en-IN" sz="1200" baseline="0"/>
        </a:p>
        <a:p>
          <a:r>
            <a:rPr lang="en-IN" sz="1200" b="1" baseline="0"/>
            <a:t>Analysis Insights</a:t>
          </a:r>
          <a:r>
            <a:rPr lang="en-IN" sz="1200" baseline="0"/>
            <a:t>: According to the insights,we get that there are three to four products which has least overall orders placed.</a:t>
          </a:r>
          <a:endParaRPr lang="en-IN" sz="1200"/>
        </a:p>
      </xdr:txBody>
    </xdr:sp>
    <xdr:clientData/>
  </xdr:twoCellAnchor>
  <xdr:twoCellAnchor>
    <xdr:from>
      <xdr:col>5</xdr:col>
      <xdr:colOff>434340</xdr:colOff>
      <xdr:row>4</xdr:row>
      <xdr:rowOff>121920</xdr:rowOff>
    </xdr:from>
    <xdr:to>
      <xdr:col>15</xdr:col>
      <xdr:colOff>218611</xdr:colOff>
      <xdr:row>20</xdr:row>
      <xdr:rowOff>71389</xdr:rowOff>
    </xdr:to>
    <xdr:graphicFrame macro="">
      <xdr:nvGraphicFramePr>
        <xdr:cNvPr id="4" name="Chart 3">
          <a:extLst>
            <a:ext uri="{FF2B5EF4-FFF2-40B4-BE49-F238E27FC236}">
              <a16:creationId xmlns:a16="http://schemas.microsoft.com/office/drawing/2014/main" id="{BDB7E364-2332-42EE-8203-39454BF2B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13</xdr:row>
      <xdr:rowOff>30480</xdr:rowOff>
    </xdr:from>
    <xdr:to>
      <xdr:col>5</xdr:col>
      <xdr:colOff>129540</xdr:colOff>
      <xdr:row>20</xdr:row>
      <xdr:rowOff>45720</xdr:rowOff>
    </xdr:to>
    <xdr:sp macro="" textlink="">
      <xdr:nvSpPr>
        <xdr:cNvPr id="4" name="TextBox 3">
          <a:extLst>
            <a:ext uri="{FF2B5EF4-FFF2-40B4-BE49-F238E27FC236}">
              <a16:creationId xmlns:a16="http://schemas.microsoft.com/office/drawing/2014/main" id="{C32C9697-C56D-4057-A45A-AD5E6D7E29C8}"/>
            </a:ext>
          </a:extLst>
        </xdr:cNvPr>
        <xdr:cNvSpPr txBox="1"/>
      </xdr:nvSpPr>
      <xdr:spPr>
        <a:xfrm>
          <a:off x="182880" y="2407920"/>
          <a:ext cx="4061460" cy="129540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Hypothesis 2</a:t>
          </a:r>
          <a:r>
            <a:rPr lang="en-IN" sz="1200"/>
            <a:t>:Some</a:t>
          </a:r>
          <a:r>
            <a:rPr lang="en-IN" sz="1200" baseline="0"/>
            <a:t> medicinal products are generating low sales.</a:t>
          </a:r>
        </a:p>
        <a:p>
          <a:endParaRPr lang="en-IN" sz="1200" baseline="0"/>
        </a:p>
        <a:p>
          <a:r>
            <a:rPr lang="en-IN" sz="1200" b="1" baseline="0"/>
            <a:t>Analysis Insights</a:t>
          </a:r>
          <a:r>
            <a:rPr lang="en-IN" sz="1200" baseline="0"/>
            <a:t>: After Analysis we got to know that there are 3 to 4 products which are generating the least overall sales of the products.</a:t>
          </a:r>
          <a:endParaRPr lang="en-IN" sz="1200"/>
        </a:p>
      </xdr:txBody>
    </xdr:sp>
    <xdr:clientData/>
  </xdr:twoCellAnchor>
  <xdr:twoCellAnchor>
    <xdr:from>
      <xdr:col>6</xdr:col>
      <xdr:colOff>22860</xdr:colOff>
      <xdr:row>5</xdr:row>
      <xdr:rowOff>22860</xdr:rowOff>
    </xdr:from>
    <xdr:to>
      <xdr:col>15</xdr:col>
      <xdr:colOff>260890</xdr:colOff>
      <xdr:row>20</xdr:row>
      <xdr:rowOff>155209</xdr:rowOff>
    </xdr:to>
    <xdr:graphicFrame macro="">
      <xdr:nvGraphicFramePr>
        <xdr:cNvPr id="5" name="Chart 4">
          <a:extLst>
            <a:ext uri="{FF2B5EF4-FFF2-40B4-BE49-F238E27FC236}">
              <a16:creationId xmlns:a16="http://schemas.microsoft.com/office/drawing/2014/main" id="{0B80A167-7909-462E-AC0F-8A1226BA0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99060</xdr:colOff>
      <xdr:row>13</xdr:row>
      <xdr:rowOff>83820</xdr:rowOff>
    </xdr:from>
    <xdr:to>
      <xdr:col>6</xdr:col>
      <xdr:colOff>106680</xdr:colOff>
      <xdr:row>21</xdr:row>
      <xdr:rowOff>38100</xdr:rowOff>
    </xdr:to>
    <xdr:sp macro="" textlink="">
      <xdr:nvSpPr>
        <xdr:cNvPr id="2" name="TextBox 1">
          <a:extLst>
            <a:ext uri="{FF2B5EF4-FFF2-40B4-BE49-F238E27FC236}">
              <a16:creationId xmlns:a16="http://schemas.microsoft.com/office/drawing/2014/main" id="{64E5446A-8B97-498D-8A5C-543B9717D03E}"/>
            </a:ext>
          </a:extLst>
        </xdr:cNvPr>
        <xdr:cNvSpPr txBox="1"/>
      </xdr:nvSpPr>
      <xdr:spPr>
        <a:xfrm>
          <a:off x="99060" y="2461260"/>
          <a:ext cx="4495800" cy="141732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Hypothesis 3</a:t>
          </a:r>
          <a:r>
            <a:rPr lang="en-IN" sz="1200"/>
            <a:t>:The</a:t>
          </a:r>
          <a:r>
            <a:rPr lang="en-IN" sz="1200" baseline="0"/>
            <a:t>re are some month which has dip in overall sales</a:t>
          </a:r>
        </a:p>
        <a:p>
          <a:endParaRPr lang="en-IN" sz="1200" baseline="0"/>
        </a:p>
        <a:p>
          <a:r>
            <a:rPr lang="en-IN" sz="1200" b="1" baseline="0"/>
            <a:t>Analysis Insights</a:t>
          </a:r>
          <a:r>
            <a:rPr lang="en-IN" sz="1200" baseline="0"/>
            <a:t>:According to the analysis there is a dip in january,june and august i.e., these are the months which has least demand of products. </a:t>
          </a:r>
          <a:endParaRPr lang="en-IN" sz="1200"/>
        </a:p>
      </xdr:txBody>
    </xdr:sp>
    <xdr:clientData/>
  </xdr:twoCellAnchor>
  <xdr:twoCellAnchor>
    <xdr:from>
      <xdr:col>6</xdr:col>
      <xdr:colOff>320040</xdr:colOff>
      <xdr:row>6</xdr:row>
      <xdr:rowOff>99060</xdr:rowOff>
    </xdr:from>
    <xdr:to>
      <xdr:col>15</xdr:col>
      <xdr:colOff>470387</xdr:colOff>
      <xdr:row>22</xdr:row>
      <xdr:rowOff>48529</xdr:rowOff>
    </xdr:to>
    <xdr:graphicFrame macro="">
      <xdr:nvGraphicFramePr>
        <xdr:cNvPr id="4" name="Chart 3">
          <a:extLst>
            <a:ext uri="{FF2B5EF4-FFF2-40B4-BE49-F238E27FC236}">
              <a16:creationId xmlns:a16="http://schemas.microsoft.com/office/drawing/2014/main" id="{F8B5C65D-D903-4134-9C3E-473D8E643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137160</xdr:colOff>
      <xdr:row>12</xdr:row>
      <xdr:rowOff>152400</xdr:rowOff>
    </xdr:from>
    <xdr:to>
      <xdr:col>5</xdr:col>
      <xdr:colOff>83820</xdr:colOff>
      <xdr:row>19</xdr:row>
      <xdr:rowOff>167640</xdr:rowOff>
    </xdr:to>
    <xdr:sp macro="" textlink="">
      <xdr:nvSpPr>
        <xdr:cNvPr id="2" name="TextBox 1">
          <a:extLst>
            <a:ext uri="{FF2B5EF4-FFF2-40B4-BE49-F238E27FC236}">
              <a16:creationId xmlns:a16="http://schemas.microsoft.com/office/drawing/2014/main" id="{0A0C9ABF-F413-4EAE-B0C5-947C99755406}"/>
            </a:ext>
          </a:extLst>
        </xdr:cNvPr>
        <xdr:cNvSpPr txBox="1"/>
      </xdr:nvSpPr>
      <xdr:spPr>
        <a:xfrm>
          <a:off x="137160" y="2346960"/>
          <a:ext cx="4579620" cy="129540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Hypothesis</a:t>
          </a:r>
          <a:r>
            <a:rPr lang="en-IN" sz="1200" b="1" baseline="0"/>
            <a:t> 4</a:t>
          </a:r>
          <a:r>
            <a:rPr lang="en-IN" sz="1200"/>
            <a:t>:The</a:t>
          </a:r>
          <a:r>
            <a:rPr lang="en-IN" sz="1200" baseline="0"/>
            <a:t>re are some days where there is a dip of sales</a:t>
          </a:r>
        </a:p>
        <a:p>
          <a:endParaRPr lang="en-IN" sz="1200" baseline="0"/>
        </a:p>
        <a:p>
          <a:r>
            <a:rPr lang="en-IN" sz="1200" b="1" baseline="0"/>
            <a:t>Analysis Insights</a:t>
          </a:r>
          <a:r>
            <a:rPr lang="en-IN" sz="1200" baseline="0"/>
            <a:t>: After Analysis,we got to know that in monday,tuesday,thursday and saturday are the major dip of sales.</a:t>
          </a:r>
          <a:endParaRPr lang="en-IN" sz="1200"/>
        </a:p>
      </xdr:txBody>
    </xdr:sp>
    <xdr:clientData/>
  </xdr:twoCellAnchor>
  <xdr:twoCellAnchor>
    <xdr:from>
      <xdr:col>5</xdr:col>
      <xdr:colOff>259080</xdr:colOff>
      <xdr:row>6</xdr:row>
      <xdr:rowOff>0</xdr:rowOff>
    </xdr:from>
    <xdr:to>
      <xdr:col>14</xdr:col>
      <xdr:colOff>561961</xdr:colOff>
      <xdr:row>21</xdr:row>
      <xdr:rowOff>23560</xdr:rowOff>
    </xdr:to>
    <xdr:graphicFrame macro="">
      <xdr:nvGraphicFramePr>
        <xdr:cNvPr id="4" name="Chart 3">
          <a:extLst>
            <a:ext uri="{FF2B5EF4-FFF2-40B4-BE49-F238E27FC236}">
              <a16:creationId xmlns:a16="http://schemas.microsoft.com/office/drawing/2014/main" id="{993BDE4F-0E28-4AD9-9CA5-D98928E91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91440</xdr:colOff>
      <xdr:row>11</xdr:row>
      <xdr:rowOff>30480</xdr:rowOff>
    </xdr:from>
    <xdr:to>
      <xdr:col>5</xdr:col>
      <xdr:colOff>411480</xdr:colOff>
      <xdr:row>18</xdr:row>
      <xdr:rowOff>45720</xdr:rowOff>
    </xdr:to>
    <xdr:sp macro="" textlink="">
      <xdr:nvSpPr>
        <xdr:cNvPr id="2" name="TextBox 1">
          <a:extLst>
            <a:ext uri="{FF2B5EF4-FFF2-40B4-BE49-F238E27FC236}">
              <a16:creationId xmlns:a16="http://schemas.microsoft.com/office/drawing/2014/main" id="{F9F6DB1D-4EA4-4AED-92F8-8404B20999A1}"/>
            </a:ext>
          </a:extLst>
        </xdr:cNvPr>
        <xdr:cNvSpPr txBox="1"/>
      </xdr:nvSpPr>
      <xdr:spPr>
        <a:xfrm>
          <a:off x="91440" y="2042160"/>
          <a:ext cx="4373880" cy="129540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Hypothesis</a:t>
          </a:r>
          <a:r>
            <a:rPr lang="en-IN" sz="1200" b="1" baseline="0"/>
            <a:t> 5</a:t>
          </a:r>
          <a:r>
            <a:rPr lang="en-IN" sz="1200"/>
            <a:t>:The</a:t>
          </a:r>
          <a:r>
            <a:rPr lang="en-IN" sz="1200" baseline="0"/>
            <a:t> average rating of some categories are least</a:t>
          </a:r>
        </a:p>
        <a:p>
          <a:endParaRPr lang="en-IN" sz="1200" baseline="0"/>
        </a:p>
        <a:p>
          <a:r>
            <a:rPr lang="en-IN" sz="1200" b="1" baseline="0"/>
            <a:t>Analysis Insights</a:t>
          </a:r>
          <a:r>
            <a:rPr lang="en-IN" sz="1200" baseline="0"/>
            <a:t>: After Analysis we got to know that there are minor differences in the total orders percentage by each country.i.e.,it is stable.</a:t>
          </a:r>
          <a:endParaRPr lang="en-IN" sz="1200"/>
        </a:p>
      </xdr:txBody>
    </xdr:sp>
    <xdr:clientData/>
  </xdr:twoCellAnchor>
  <xdr:twoCellAnchor>
    <xdr:from>
      <xdr:col>5</xdr:col>
      <xdr:colOff>579120</xdr:colOff>
      <xdr:row>4</xdr:row>
      <xdr:rowOff>68580</xdr:rowOff>
    </xdr:from>
    <xdr:to>
      <xdr:col>15</xdr:col>
      <xdr:colOff>223762</xdr:colOff>
      <xdr:row>19</xdr:row>
      <xdr:rowOff>108352</xdr:rowOff>
    </xdr:to>
    <xdr:graphicFrame macro="">
      <xdr:nvGraphicFramePr>
        <xdr:cNvPr id="4" name="Chart 3">
          <a:extLst>
            <a:ext uri="{FF2B5EF4-FFF2-40B4-BE49-F238E27FC236}">
              <a16:creationId xmlns:a16="http://schemas.microsoft.com/office/drawing/2014/main" id="{0BEDAA16-07E2-410D-A4D1-F4EB3F308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182880</xdr:colOff>
      <xdr:row>12</xdr:row>
      <xdr:rowOff>114300</xdr:rowOff>
    </xdr:from>
    <xdr:to>
      <xdr:col>6</xdr:col>
      <xdr:colOff>167640</xdr:colOff>
      <xdr:row>20</xdr:row>
      <xdr:rowOff>152400</xdr:rowOff>
    </xdr:to>
    <xdr:sp macro="" textlink="">
      <xdr:nvSpPr>
        <xdr:cNvPr id="3" name="TextBox 2">
          <a:extLst>
            <a:ext uri="{FF2B5EF4-FFF2-40B4-BE49-F238E27FC236}">
              <a16:creationId xmlns:a16="http://schemas.microsoft.com/office/drawing/2014/main" id="{A5123396-23FD-4C1F-9B82-309AF2FB305C}"/>
            </a:ext>
          </a:extLst>
        </xdr:cNvPr>
        <xdr:cNvSpPr txBox="1"/>
      </xdr:nvSpPr>
      <xdr:spPr>
        <a:xfrm>
          <a:off x="182880" y="2308860"/>
          <a:ext cx="4472940" cy="150114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Hypothesis 6</a:t>
          </a:r>
          <a:r>
            <a:rPr lang="en-IN" sz="1200"/>
            <a:t>:Some</a:t>
          </a:r>
          <a:r>
            <a:rPr lang="en-IN" sz="1200" baseline="0"/>
            <a:t> Employees are underperforming which causes decrease in overall sales</a:t>
          </a:r>
        </a:p>
        <a:p>
          <a:endParaRPr lang="en-IN" sz="1200" baseline="0"/>
        </a:p>
        <a:p>
          <a:r>
            <a:rPr lang="en-IN" sz="1200" b="1" baseline="0"/>
            <a:t>Analysis Insights</a:t>
          </a:r>
          <a:r>
            <a:rPr lang="en-IN" sz="1200" baseline="0"/>
            <a:t>: After Analysis we got to know that there are two to three employees who are underperforming or there is no improvement in their overall sales.</a:t>
          </a:r>
          <a:endParaRPr lang="en-IN" sz="1200"/>
        </a:p>
      </xdr:txBody>
    </xdr:sp>
    <xdr:clientData/>
  </xdr:twoCellAnchor>
  <xdr:twoCellAnchor>
    <xdr:from>
      <xdr:col>6</xdr:col>
      <xdr:colOff>335280</xdr:colOff>
      <xdr:row>6</xdr:row>
      <xdr:rowOff>30480</xdr:rowOff>
    </xdr:from>
    <xdr:to>
      <xdr:col>15</xdr:col>
      <xdr:colOff>573310</xdr:colOff>
      <xdr:row>21</xdr:row>
      <xdr:rowOff>167526</xdr:rowOff>
    </xdr:to>
    <xdr:graphicFrame macro="">
      <xdr:nvGraphicFramePr>
        <xdr:cNvPr id="4" name="Chart 3">
          <a:extLst>
            <a:ext uri="{FF2B5EF4-FFF2-40B4-BE49-F238E27FC236}">
              <a16:creationId xmlns:a16="http://schemas.microsoft.com/office/drawing/2014/main" id="{D4FD2671-6F1C-4ECD-AF87-754672C3F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342122</xdr:colOff>
      <xdr:row>12</xdr:row>
      <xdr:rowOff>145914</xdr:rowOff>
    </xdr:from>
    <xdr:to>
      <xdr:col>10</xdr:col>
      <xdr:colOff>48638</xdr:colOff>
      <xdr:row>28</xdr:row>
      <xdr:rowOff>35667</xdr:rowOff>
    </xdr:to>
    <xdr:graphicFrame macro="">
      <xdr:nvGraphicFramePr>
        <xdr:cNvPr id="3" name="Chart 2">
          <a:extLst>
            <a:ext uri="{FF2B5EF4-FFF2-40B4-BE49-F238E27FC236}">
              <a16:creationId xmlns:a16="http://schemas.microsoft.com/office/drawing/2014/main" id="{F09B41E7-29DF-4721-B418-4955F20AC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356680</xdr:colOff>
      <xdr:row>30</xdr:row>
      <xdr:rowOff>162126</xdr:rowOff>
    </xdr:from>
    <xdr:to>
      <xdr:col>10</xdr:col>
      <xdr:colOff>16212</xdr:colOff>
      <xdr:row>46</xdr:row>
      <xdr:rowOff>51879</xdr:rowOff>
    </xdr:to>
    <xdr:graphicFrame macro="">
      <xdr:nvGraphicFramePr>
        <xdr:cNvPr id="4" name="Chart 3">
          <a:extLst>
            <a:ext uri="{FF2B5EF4-FFF2-40B4-BE49-F238E27FC236}">
              <a16:creationId xmlns:a16="http://schemas.microsoft.com/office/drawing/2014/main" id="{180DF89A-17C1-49A1-8B4A-0F0293340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356682</xdr:colOff>
      <xdr:row>48</xdr:row>
      <xdr:rowOff>129703</xdr:rowOff>
    </xdr:from>
    <xdr:to>
      <xdr:col>9</xdr:col>
      <xdr:colOff>535021</xdr:colOff>
      <xdr:row>64</xdr:row>
      <xdr:rowOff>19456</xdr:rowOff>
    </xdr:to>
    <xdr:graphicFrame macro="">
      <xdr:nvGraphicFramePr>
        <xdr:cNvPr id="5" name="Chart 4">
          <a:extLst>
            <a:ext uri="{FF2B5EF4-FFF2-40B4-BE49-F238E27FC236}">
              <a16:creationId xmlns:a16="http://schemas.microsoft.com/office/drawing/2014/main" id="{E1ED23B7-C260-4D9D-BE70-C26A871A4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437745</xdr:colOff>
      <xdr:row>13</xdr:row>
      <xdr:rowOff>64851</xdr:rowOff>
    </xdr:from>
    <xdr:to>
      <xdr:col>25</xdr:col>
      <xdr:colOff>162128</xdr:colOff>
      <xdr:row>28</xdr:row>
      <xdr:rowOff>32427</xdr:rowOff>
    </xdr:to>
    <xdr:graphicFrame macro="">
      <xdr:nvGraphicFramePr>
        <xdr:cNvPr id="7" name="Chart 6">
          <a:extLst>
            <a:ext uri="{FF2B5EF4-FFF2-40B4-BE49-F238E27FC236}">
              <a16:creationId xmlns:a16="http://schemas.microsoft.com/office/drawing/2014/main" id="{FE9BC4C3-7361-4746-8245-FB5E26FE8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470169</xdr:colOff>
      <xdr:row>30</xdr:row>
      <xdr:rowOff>178339</xdr:rowOff>
    </xdr:from>
    <xdr:to>
      <xdr:col>25</xdr:col>
      <xdr:colOff>145913</xdr:colOff>
      <xdr:row>45</xdr:row>
      <xdr:rowOff>162127</xdr:rowOff>
    </xdr:to>
    <xdr:graphicFrame macro="">
      <xdr:nvGraphicFramePr>
        <xdr:cNvPr id="8" name="Chart 7">
          <a:extLst>
            <a:ext uri="{FF2B5EF4-FFF2-40B4-BE49-F238E27FC236}">
              <a16:creationId xmlns:a16="http://schemas.microsoft.com/office/drawing/2014/main" id="{AB1BDC46-EB5C-4497-BD5C-90ED30325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453957</xdr:colOff>
      <xdr:row>48</xdr:row>
      <xdr:rowOff>81065</xdr:rowOff>
    </xdr:from>
    <xdr:to>
      <xdr:col>25</xdr:col>
      <xdr:colOff>113489</xdr:colOff>
      <xdr:row>63</xdr:row>
      <xdr:rowOff>162128</xdr:rowOff>
    </xdr:to>
    <xdr:graphicFrame macro="">
      <xdr:nvGraphicFramePr>
        <xdr:cNvPr id="9" name="Chart 8">
          <a:extLst>
            <a:ext uri="{FF2B5EF4-FFF2-40B4-BE49-F238E27FC236}">
              <a16:creationId xmlns:a16="http://schemas.microsoft.com/office/drawing/2014/main" id="{535DB766-3BC3-4589-8A16-DEB3B1EAB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48638</xdr:colOff>
      <xdr:row>1</xdr:row>
      <xdr:rowOff>32426</xdr:rowOff>
    </xdr:from>
    <xdr:to>
      <xdr:col>23</xdr:col>
      <xdr:colOff>453958</xdr:colOff>
      <xdr:row>6</xdr:row>
      <xdr:rowOff>0</xdr:rowOff>
    </xdr:to>
    <xdr:sp macro="" textlink="">
      <xdr:nvSpPr>
        <xdr:cNvPr id="10" name="TextBox 9">
          <a:extLst>
            <a:ext uri="{FF2B5EF4-FFF2-40B4-BE49-F238E27FC236}">
              <a16:creationId xmlns:a16="http://schemas.microsoft.com/office/drawing/2014/main" id="{8E0271D1-0A32-F5E7-B508-A007EE8C57FA}"/>
            </a:ext>
          </a:extLst>
        </xdr:cNvPr>
        <xdr:cNvSpPr txBox="1"/>
      </xdr:nvSpPr>
      <xdr:spPr>
        <a:xfrm>
          <a:off x="1261618" y="219038"/>
          <a:ext cx="13141605" cy="900635"/>
        </a:xfrm>
        <a:prstGeom prst="rect">
          <a:avLst/>
        </a:prstGeom>
        <a:solidFill>
          <a:schemeClr val="accent5">
            <a:lumMod val="20000"/>
            <a:lumOff val="80000"/>
          </a:schemeClr>
        </a:solidFill>
        <a:ln w="508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u="sng"/>
            <a:t>Pharmacy</a:t>
          </a:r>
          <a:r>
            <a:rPr lang="en-IN" sz="4800" b="1" u="sng" baseline="0"/>
            <a:t> OTC Sales Dashboard</a:t>
          </a:r>
          <a:endParaRPr lang="en-IN" sz="4800" b="1" u="sng"/>
        </a:p>
      </xdr:txBody>
    </xdr:sp>
    <xdr:clientData/>
  </xdr:twoCellAnchor>
  <xdr:twoCellAnchor>
    <xdr:from>
      <xdr:col>0</xdr:col>
      <xdr:colOff>194553</xdr:colOff>
      <xdr:row>8</xdr:row>
      <xdr:rowOff>93307</xdr:rowOff>
    </xdr:from>
    <xdr:to>
      <xdr:col>4</xdr:col>
      <xdr:colOff>32426</xdr:colOff>
      <xdr:row>11</xdr:row>
      <xdr:rowOff>97276</xdr:rowOff>
    </xdr:to>
    <xdr:sp macro="" textlink="">
      <xdr:nvSpPr>
        <xdr:cNvPr id="11" name="TextBox 10">
          <a:extLst>
            <a:ext uri="{FF2B5EF4-FFF2-40B4-BE49-F238E27FC236}">
              <a16:creationId xmlns:a16="http://schemas.microsoft.com/office/drawing/2014/main" id="{006505A0-EEB0-04A9-DF56-A359BC5F4BA9}"/>
            </a:ext>
          </a:extLst>
        </xdr:cNvPr>
        <xdr:cNvSpPr txBox="1"/>
      </xdr:nvSpPr>
      <xdr:spPr>
        <a:xfrm>
          <a:off x="194553" y="1586205"/>
          <a:ext cx="2263832" cy="563806"/>
        </a:xfrm>
        <a:prstGeom prst="rect">
          <a:avLst/>
        </a:prstGeom>
        <a:solidFill>
          <a:schemeClr val="bg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u="sng"/>
            <a:t>Total Sales</a:t>
          </a:r>
        </a:p>
        <a:p>
          <a:pPr algn="ctr"/>
          <a:r>
            <a:rPr lang="en-IN" sz="1400"/>
            <a:t>58929.29</a:t>
          </a:r>
        </a:p>
      </xdr:txBody>
    </xdr:sp>
    <xdr:clientData/>
  </xdr:twoCellAnchor>
  <xdr:twoCellAnchor>
    <xdr:from>
      <xdr:col>5</xdr:col>
      <xdr:colOff>129702</xdr:colOff>
      <xdr:row>8</xdr:row>
      <xdr:rowOff>93306</xdr:rowOff>
    </xdr:from>
    <xdr:to>
      <xdr:col>9</xdr:col>
      <xdr:colOff>129702</xdr:colOff>
      <xdr:row>11</xdr:row>
      <xdr:rowOff>97276</xdr:rowOff>
    </xdr:to>
    <xdr:sp macro="" textlink="">
      <xdr:nvSpPr>
        <xdr:cNvPr id="12" name="TextBox 11">
          <a:extLst>
            <a:ext uri="{FF2B5EF4-FFF2-40B4-BE49-F238E27FC236}">
              <a16:creationId xmlns:a16="http://schemas.microsoft.com/office/drawing/2014/main" id="{08C13873-CC14-434B-2FE0-5DE4635424F3}"/>
            </a:ext>
          </a:extLst>
        </xdr:cNvPr>
        <xdr:cNvSpPr txBox="1"/>
      </xdr:nvSpPr>
      <xdr:spPr>
        <a:xfrm>
          <a:off x="3162151" y="1586204"/>
          <a:ext cx="2425959" cy="563807"/>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u="sng"/>
            <a:t>Total Shipments</a:t>
          </a:r>
        </a:p>
        <a:p>
          <a:pPr algn="ctr"/>
          <a:r>
            <a:rPr lang="en-IN" sz="1400"/>
            <a:t>3488</a:t>
          </a:r>
        </a:p>
      </xdr:txBody>
    </xdr:sp>
    <xdr:clientData/>
  </xdr:twoCellAnchor>
  <xdr:twoCellAnchor>
    <xdr:from>
      <xdr:col>15</xdr:col>
      <xdr:colOff>248816</xdr:colOff>
      <xdr:row>8</xdr:row>
      <xdr:rowOff>77754</xdr:rowOff>
    </xdr:from>
    <xdr:to>
      <xdr:col>19</xdr:col>
      <xdr:colOff>108857</xdr:colOff>
      <xdr:row>11</xdr:row>
      <xdr:rowOff>108856</xdr:rowOff>
    </xdr:to>
    <xdr:sp macro="" textlink="">
      <xdr:nvSpPr>
        <xdr:cNvPr id="13" name="TextBox 12">
          <a:extLst>
            <a:ext uri="{FF2B5EF4-FFF2-40B4-BE49-F238E27FC236}">
              <a16:creationId xmlns:a16="http://schemas.microsoft.com/office/drawing/2014/main" id="{799C2C74-915A-E48E-D060-C81AAB440E17}"/>
            </a:ext>
          </a:extLst>
        </xdr:cNvPr>
        <xdr:cNvSpPr txBox="1"/>
      </xdr:nvSpPr>
      <xdr:spPr>
        <a:xfrm>
          <a:off x="9346163" y="1570652"/>
          <a:ext cx="2286000" cy="590939"/>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u="sng"/>
            <a:t>Top Month </a:t>
          </a:r>
        </a:p>
        <a:p>
          <a:pPr algn="ctr"/>
          <a:r>
            <a:rPr lang="en-IN" sz="1400"/>
            <a:t>May and</a:t>
          </a:r>
          <a:r>
            <a:rPr lang="en-IN" sz="1400" baseline="0"/>
            <a:t> July</a:t>
          </a:r>
          <a:endParaRPr lang="en-IN" sz="1400"/>
        </a:p>
      </xdr:txBody>
    </xdr:sp>
    <xdr:clientData/>
  </xdr:twoCellAnchor>
  <xdr:twoCellAnchor>
    <xdr:from>
      <xdr:col>20</xdr:col>
      <xdr:colOff>513184</xdr:colOff>
      <xdr:row>8</xdr:row>
      <xdr:rowOff>77756</xdr:rowOff>
    </xdr:from>
    <xdr:to>
      <xdr:col>24</xdr:col>
      <xdr:colOff>295469</xdr:colOff>
      <xdr:row>11</xdr:row>
      <xdr:rowOff>108857</xdr:rowOff>
    </xdr:to>
    <xdr:sp macro="" textlink="">
      <xdr:nvSpPr>
        <xdr:cNvPr id="14" name="TextBox 13">
          <a:extLst>
            <a:ext uri="{FF2B5EF4-FFF2-40B4-BE49-F238E27FC236}">
              <a16:creationId xmlns:a16="http://schemas.microsoft.com/office/drawing/2014/main" id="{B318F27D-8355-7590-BA98-C18348ADD29A}"/>
            </a:ext>
          </a:extLst>
        </xdr:cNvPr>
        <xdr:cNvSpPr txBox="1"/>
      </xdr:nvSpPr>
      <xdr:spPr>
        <a:xfrm>
          <a:off x="12642980" y="1570654"/>
          <a:ext cx="2208244" cy="590938"/>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u="sng"/>
            <a:t>Top Product</a:t>
          </a:r>
        </a:p>
        <a:p>
          <a:pPr algn="ctr"/>
          <a:r>
            <a:rPr lang="en-IN" sz="1400"/>
            <a:t>Digestive Enzyme</a:t>
          </a:r>
        </a:p>
      </xdr:txBody>
    </xdr:sp>
    <xdr:clientData/>
  </xdr:twoCellAnchor>
  <xdr:twoCellAnchor editAs="oneCell">
    <xdr:from>
      <xdr:col>11</xdr:col>
      <xdr:colOff>31102</xdr:colOff>
      <xdr:row>12</xdr:row>
      <xdr:rowOff>171061</xdr:rowOff>
    </xdr:from>
    <xdr:to>
      <xdr:col>14</xdr:col>
      <xdr:colOff>559837</xdr:colOff>
      <xdr:row>28</xdr:row>
      <xdr:rowOff>41016</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7433349F-9A8F-4DA4-99B9-0095893E954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702490" y="2410408"/>
              <a:ext cx="2404188" cy="2855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31101</xdr:colOff>
      <xdr:row>30</xdr:row>
      <xdr:rowOff>171062</xdr:rowOff>
    </xdr:from>
    <xdr:to>
      <xdr:col>14</xdr:col>
      <xdr:colOff>575387</xdr:colOff>
      <xdr:row>46</xdr:row>
      <xdr:rowOff>93306</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C19DC107-4CA3-47E8-AA8B-40ACF689A19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702489" y="5769429"/>
              <a:ext cx="2363755" cy="2908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15551</xdr:colOff>
      <xdr:row>48</xdr:row>
      <xdr:rowOff>77755</xdr:rowOff>
    </xdr:from>
    <xdr:to>
      <xdr:col>14</xdr:col>
      <xdr:colOff>575388</xdr:colOff>
      <xdr:row>63</xdr:row>
      <xdr:rowOff>108858</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B71FCFF2-475B-40E8-936A-52BBD53F654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686939" y="9035143"/>
              <a:ext cx="2379306" cy="2830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shi sahu" refreshedDate="46160.537066319448" createdVersion="8" refreshedVersion="8" minRefreshableVersion="3" recordCount="333" xr:uid="{E1C1E660-3E01-4E56-B922-5483CE07CD89}">
  <cacheSource type="worksheet">
    <worksheetSource ref="A1:G334" sheet="pharmacy_otc_sales_data"/>
  </cacheSource>
  <cacheFields count="7">
    <cacheField name="Date" numFmtId="14">
      <sharedItems containsSemiMixedTypes="0" containsNonDate="0" containsDate="1" containsString="0" minDate="2022-01-02T00:00:00" maxDate="2022-09-01T00:00:00"/>
    </cacheField>
    <cacheField name="Product" numFmtId="0">
      <sharedItems count="7">
        <s v="Pain Relief Tablets"/>
        <s v="Antiseptic Cream"/>
        <s v="Cough Syrup"/>
        <s v="Digestive Enzyme"/>
        <s v="Eye Drops"/>
        <s v="Nasal Spray"/>
        <s v="Allergy Pills"/>
      </sharedItems>
    </cacheField>
    <cacheField name="Sales Person" numFmtId="0">
      <sharedItems/>
    </cacheField>
    <cacheField name="Boxes Shipped" numFmtId="0">
      <sharedItems containsSemiMixedTypes="0" containsString="0" containsNumber="1" containsInteger="1" minValue="1" maxValue="20"/>
    </cacheField>
    <cacheField name="Amount ($)" numFmtId="0">
      <sharedItems containsSemiMixedTypes="0" containsString="0" containsNumber="1" minValue="8.09" maxValue="494.08"/>
    </cacheField>
    <cacheField name="Country" numFmtId="0">
      <sharedItems/>
    </cacheField>
    <cacheField name="Month" numFmtId="0">
      <sharedItems count="8">
        <s v="February"/>
        <s v="March"/>
        <s v="January"/>
        <s v="June"/>
        <s v="July"/>
        <s v="April"/>
        <s v="May"/>
        <s v="August"/>
      </sharedItems>
    </cacheField>
  </cacheFields>
  <extLst>
    <ext xmlns:x14="http://schemas.microsoft.com/office/spreadsheetml/2009/9/main" uri="{725AE2AE-9491-48be-B2B4-4EB974FC3084}">
      <x14:pivotCacheDefinition pivotCacheId="1867444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shi sahu" refreshedDate="46160.540701967591" createdVersion="8" refreshedVersion="8" minRefreshableVersion="3" recordCount="333" xr:uid="{7376424D-25ED-4FBA-82BC-6CE612393AE6}">
  <cacheSource type="worksheet">
    <worksheetSource ref="A1:H334" sheet="pharmacy_otc_sales_data"/>
  </cacheSource>
  <cacheFields count="8">
    <cacheField name="Date" numFmtId="14">
      <sharedItems containsSemiMixedTypes="0" containsNonDate="0" containsDate="1" containsString="0" minDate="2022-01-02T00:00:00" maxDate="2022-09-01T00:00:00"/>
    </cacheField>
    <cacheField name="Product" numFmtId="0">
      <sharedItems count="7">
        <s v="Pain Relief Tablets"/>
        <s v="Antiseptic Cream"/>
        <s v="Cough Syrup"/>
        <s v="Digestive Enzyme"/>
        <s v="Eye Drops"/>
        <s v="Nasal Spray"/>
        <s v="Allergy Pills"/>
      </sharedItems>
    </cacheField>
    <cacheField name="Sales Person" numFmtId="0">
      <sharedItems count="7">
        <s v="Divya Mehra"/>
        <s v="Nikhil Batra"/>
        <s v="Ritika Shah"/>
        <s v="Priya Singh"/>
        <s v="Sneha Iyer"/>
        <s v="Rajesh Patel"/>
        <s v="Aman Verma"/>
      </sharedItems>
    </cacheField>
    <cacheField name="Boxes Shipped" numFmtId="0">
      <sharedItems containsSemiMixedTypes="0" containsString="0" containsNumber="1" containsInteger="1" minValue="1" maxValue="20" count="20">
        <n v="7"/>
        <n v="18"/>
        <n v="2"/>
        <n v="5"/>
        <n v="8"/>
        <n v="3"/>
        <n v="13"/>
        <n v="17"/>
        <n v="11"/>
        <n v="12"/>
        <n v="14"/>
        <n v="9"/>
        <n v="15"/>
        <n v="20"/>
        <n v="19"/>
        <n v="1"/>
        <n v="10"/>
        <n v="16"/>
        <n v="4"/>
        <n v="6"/>
      </sharedItems>
    </cacheField>
    <cacheField name="Amount ($)" numFmtId="0">
      <sharedItems containsSemiMixedTypes="0" containsString="0" containsNumber="1" minValue="8.09" maxValue="494.08"/>
    </cacheField>
    <cacheField name="Country" numFmtId="0">
      <sharedItems count="5">
        <s v="Australia"/>
        <s v="Canada"/>
        <s v="UK"/>
        <s v="USA"/>
        <s v="India"/>
      </sharedItems>
    </cacheField>
    <cacheField name="Month" numFmtId="0">
      <sharedItems count="8">
        <s v="February"/>
        <s v="March"/>
        <s v="January"/>
        <s v="June"/>
        <s v="July"/>
        <s v="April"/>
        <s v="May"/>
        <s v="August"/>
      </sharedItems>
    </cacheField>
    <cacheField name="Day" numFmtId="0">
      <sharedItems count="7">
        <s v="Sunday"/>
        <s v="Saturday"/>
        <s v="Monday"/>
        <s v="Wednesday"/>
        <s v="Thursday"/>
        <s v="Friday"/>
        <s v="Tuesday"/>
      </sharedItems>
    </cacheField>
  </cacheFields>
  <extLst>
    <ext xmlns:x14="http://schemas.microsoft.com/office/spreadsheetml/2009/9/main" uri="{725AE2AE-9491-48be-B2B4-4EB974FC3084}">
      <x14:pivotCacheDefinition pivotCacheId="1815464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d v="2022-02-06T00:00:00"/>
    <x v="0"/>
    <s v="Divya Mehra"/>
    <n v="7"/>
    <n v="67.430000000000007"/>
    <s v="Australia"/>
    <x v="0"/>
  </r>
  <r>
    <d v="2022-02-05T00:00:00"/>
    <x v="1"/>
    <s v="Nikhil Batra"/>
    <n v="18"/>
    <n v="421.46"/>
    <s v="Canada"/>
    <x v="0"/>
  </r>
  <r>
    <d v="2022-02-19T00:00:00"/>
    <x v="2"/>
    <s v="Ritika Shah"/>
    <n v="2"/>
    <n v="48.25"/>
    <s v="UK"/>
    <x v="0"/>
  </r>
  <r>
    <d v="2022-03-28T00:00:00"/>
    <x v="0"/>
    <s v="Nikhil Batra"/>
    <n v="5"/>
    <n v="59.89"/>
    <s v="UK"/>
    <x v="1"/>
  </r>
  <r>
    <d v="2022-01-17T00:00:00"/>
    <x v="3"/>
    <s v="Ritika Shah"/>
    <n v="8"/>
    <n v="147.72999999999999"/>
    <s v="USA"/>
    <x v="2"/>
  </r>
  <r>
    <d v="2022-02-09T00:00:00"/>
    <x v="3"/>
    <s v="Ritika Shah"/>
    <n v="18"/>
    <n v="400.87"/>
    <s v="USA"/>
    <x v="0"/>
  </r>
  <r>
    <d v="2022-06-30T00:00:00"/>
    <x v="1"/>
    <s v="Nikhil Batra"/>
    <n v="3"/>
    <n v="50.35"/>
    <s v="Australia"/>
    <x v="3"/>
  </r>
  <r>
    <d v="2022-07-25T00:00:00"/>
    <x v="4"/>
    <s v="Ritika Shah"/>
    <n v="13"/>
    <n v="282.43"/>
    <s v="USA"/>
    <x v="4"/>
  </r>
  <r>
    <d v="2022-03-20T00:00:00"/>
    <x v="5"/>
    <s v="Priya Singh"/>
    <n v="17"/>
    <n v="394.01"/>
    <s v="UK"/>
    <x v="1"/>
  </r>
  <r>
    <d v="2022-01-24T00:00:00"/>
    <x v="1"/>
    <s v="Sneha Iyer"/>
    <n v="7"/>
    <n v="89.29"/>
    <s v="Australia"/>
    <x v="2"/>
  </r>
  <r>
    <d v="2022-04-27T00:00:00"/>
    <x v="2"/>
    <s v="Divya Mehra"/>
    <n v="11"/>
    <n v="150.72999999999999"/>
    <s v="Canada"/>
    <x v="5"/>
  </r>
  <r>
    <d v="2022-02-18T00:00:00"/>
    <x v="0"/>
    <s v="Ritika Shah"/>
    <n v="5"/>
    <n v="63.41"/>
    <s v="USA"/>
    <x v="0"/>
  </r>
  <r>
    <d v="2022-06-26T00:00:00"/>
    <x v="0"/>
    <s v="Divya Mehra"/>
    <n v="18"/>
    <n v="175.89"/>
    <s v="USA"/>
    <x v="3"/>
  </r>
  <r>
    <d v="2022-06-19T00:00:00"/>
    <x v="5"/>
    <s v="Priya Singh"/>
    <n v="18"/>
    <n v="296.97000000000003"/>
    <s v="Australia"/>
    <x v="3"/>
  </r>
  <r>
    <d v="2022-06-03T00:00:00"/>
    <x v="2"/>
    <s v="Ritika Shah"/>
    <n v="12"/>
    <n v="177.75"/>
    <s v="USA"/>
    <x v="3"/>
  </r>
  <r>
    <d v="2022-04-05T00:00:00"/>
    <x v="2"/>
    <s v="Nikhil Batra"/>
    <n v="14"/>
    <n v="285.08999999999997"/>
    <s v="Canada"/>
    <x v="5"/>
  </r>
  <r>
    <d v="2022-04-17T00:00:00"/>
    <x v="0"/>
    <s v="Ritika Shah"/>
    <n v="12"/>
    <n v="277.22000000000003"/>
    <s v="Australia"/>
    <x v="5"/>
  </r>
  <r>
    <d v="2022-02-11T00:00:00"/>
    <x v="5"/>
    <s v="Priya Singh"/>
    <n v="17"/>
    <n v="175.18"/>
    <s v="Canada"/>
    <x v="0"/>
  </r>
  <r>
    <d v="2022-01-18T00:00:00"/>
    <x v="1"/>
    <s v="Ritika Shah"/>
    <n v="12"/>
    <n v="192.16"/>
    <s v="Australia"/>
    <x v="2"/>
  </r>
  <r>
    <d v="2022-05-30T00:00:00"/>
    <x v="6"/>
    <s v="Nikhil Batra"/>
    <n v="9"/>
    <n v="123.12"/>
    <s v="India"/>
    <x v="6"/>
  </r>
  <r>
    <d v="2022-06-18T00:00:00"/>
    <x v="0"/>
    <s v="Divya Mehra"/>
    <n v="15"/>
    <n v="238.86"/>
    <s v="Australia"/>
    <x v="3"/>
  </r>
  <r>
    <d v="2022-07-06T00:00:00"/>
    <x v="4"/>
    <s v="Sneha Iyer"/>
    <n v="20"/>
    <n v="272.37"/>
    <s v="UK"/>
    <x v="4"/>
  </r>
  <r>
    <d v="2022-05-25T00:00:00"/>
    <x v="6"/>
    <s v="Rajesh Patel"/>
    <n v="8"/>
    <n v="82.86"/>
    <s v="USA"/>
    <x v="6"/>
  </r>
  <r>
    <d v="2022-04-26T00:00:00"/>
    <x v="4"/>
    <s v="Aman Verma"/>
    <n v="19"/>
    <n v="447.21"/>
    <s v="India"/>
    <x v="5"/>
  </r>
  <r>
    <d v="2022-06-26T00:00:00"/>
    <x v="4"/>
    <s v="Priya Singh"/>
    <n v="1"/>
    <n v="9.98"/>
    <s v="Canada"/>
    <x v="3"/>
  </r>
  <r>
    <d v="2022-07-01T00:00:00"/>
    <x v="0"/>
    <s v="Rajesh Patel"/>
    <n v="5"/>
    <n v="101.4"/>
    <s v="India"/>
    <x v="4"/>
  </r>
  <r>
    <d v="2022-08-28T00:00:00"/>
    <x v="3"/>
    <s v="Sneha Iyer"/>
    <n v="13"/>
    <n v="206.79"/>
    <s v="India"/>
    <x v="7"/>
  </r>
  <r>
    <d v="2022-07-08T00:00:00"/>
    <x v="6"/>
    <s v="Aman Verma"/>
    <n v="11"/>
    <n v="153.08000000000001"/>
    <s v="UK"/>
    <x v="4"/>
  </r>
  <r>
    <d v="2022-02-03T00:00:00"/>
    <x v="3"/>
    <s v="Aman Verma"/>
    <n v="18"/>
    <n v="411.44"/>
    <s v="USA"/>
    <x v="0"/>
  </r>
  <r>
    <d v="2022-03-17T00:00:00"/>
    <x v="6"/>
    <s v="Rajesh Patel"/>
    <n v="5"/>
    <n v="46.92"/>
    <s v="Canada"/>
    <x v="1"/>
  </r>
  <r>
    <d v="2022-06-25T00:00:00"/>
    <x v="2"/>
    <s v="Divya Mehra"/>
    <n v="3"/>
    <n v="42.85"/>
    <s v="UK"/>
    <x v="3"/>
  </r>
  <r>
    <d v="2022-06-11T00:00:00"/>
    <x v="4"/>
    <s v="Priya Singh"/>
    <n v="2"/>
    <n v="40.17"/>
    <s v="UK"/>
    <x v="3"/>
  </r>
  <r>
    <d v="2022-03-29T00:00:00"/>
    <x v="1"/>
    <s v="Rajesh Patel"/>
    <n v="13"/>
    <n v="243.79"/>
    <s v="Canada"/>
    <x v="1"/>
  </r>
  <r>
    <d v="2022-03-26T00:00:00"/>
    <x v="1"/>
    <s v="Priya Singh"/>
    <n v="2"/>
    <n v="44.86"/>
    <s v="UK"/>
    <x v="1"/>
  </r>
  <r>
    <d v="2022-07-15T00:00:00"/>
    <x v="3"/>
    <s v="Nikhil Batra"/>
    <n v="19"/>
    <n v="288.39999999999998"/>
    <s v="UK"/>
    <x v="4"/>
  </r>
  <r>
    <d v="2022-07-16T00:00:00"/>
    <x v="2"/>
    <s v="Aman Verma"/>
    <n v="9"/>
    <n v="137.02000000000001"/>
    <s v="India"/>
    <x v="4"/>
  </r>
  <r>
    <d v="2022-05-03T00:00:00"/>
    <x v="1"/>
    <s v="Priya Singh"/>
    <n v="11"/>
    <n v="228.69"/>
    <s v="India"/>
    <x v="6"/>
  </r>
  <r>
    <d v="2022-06-17T00:00:00"/>
    <x v="3"/>
    <s v="Rajesh Patel"/>
    <n v="14"/>
    <n v="287.52999999999997"/>
    <s v="USA"/>
    <x v="3"/>
  </r>
  <r>
    <d v="2022-04-13T00:00:00"/>
    <x v="3"/>
    <s v="Rajesh Patel"/>
    <n v="14"/>
    <n v="294.16000000000003"/>
    <s v="Australia"/>
    <x v="5"/>
  </r>
  <r>
    <d v="2022-07-05T00:00:00"/>
    <x v="1"/>
    <s v="Nikhil Batra"/>
    <n v="19"/>
    <n v="217.38"/>
    <s v="India"/>
    <x v="4"/>
  </r>
  <r>
    <d v="2022-08-06T00:00:00"/>
    <x v="2"/>
    <s v="Divya Mehra"/>
    <n v="13"/>
    <n v="232.97"/>
    <s v="Canada"/>
    <x v="7"/>
  </r>
  <r>
    <d v="2022-05-25T00:00:00"/>
    <x v="1"/>
    <s v="Ritika Shah"/>
    <n v="3"/>
    <n v="34.74"/>
    <s v="UK"/>
    <x v="6"/>
  </r>
  <r>
    <d v="2022-04-20T00:00:00"/>
    <x v="6"/>
    <s v="Divya Mehra"/>
    <n v="7"/>
    <n v="152.22999999999999"/>
    <s v="USA"/>
    <x v="5"/>
  </r>
  <r>
    <d v="2022-05-15T00:00:00"/>
    <x v="5"/>
    <s v="Aman Verma"/>
    <n v="11"/>
    <n v="197.71"/>
    <s v="UK"/>
    <x v="6"/>
  </r>
  <r>
    <d v="2022-01-07T00:00:00"/>
    <x v="6"/>
    <s v="Divya Mehra"/>
    <n v="10"/>
    <n v="161.56"/>
    <s v="USA"/>
    <x v="2"/>
  </r>
  <r>
    <d v="2022-05-29T00:00:00"/>
    <x v="1"/>
    <s v="Priya Singh"/>
    <n v="16"/>
    <n v="339.11"/>
    <s v="UK"/>
    <x v="6"/>
  </r>
  <r>
    <d v="2022-03-10T00:00:00"/>
    <x v="1"/>
    <s v="Sneha Iyer"/>
    <n v="1"/>
    <n v="11.64"/>
    <s v="UK"/>
    <x v="1"/>
  </r>
  <r>
    <d v="2022-05-09T00:00:00"/>
    <x v="1"/>
    <s v="Priya Singh"/>
    <n v="3"/>
    <n v="36.54"/>
    <s v="Australia"/>
    <x v="6"/>
  </r>
  <r>
    <d v="2022-07-11T00:00:00"/>
    <x v="2"/>
    <s v="Sneha Iyer"/>
    <n v="16"/>
    <n v="163.57"/>
    <s v="USA"/>
    <x v="4"/>
  </r>
  <r>
    <d v="2022-04-11T00:00:00"/>
    <x v="2"/>
    <s v="Priya Singh"/>
    <n v="11"/>
    <n v="221.08"/>
    <s v="India"/>
    <x v="5"/>
  </r>
  <r>
    <d v="2022-01-02T00:00:00"/>
    <x v="3"/>
    <s v="Nikhil Batra"/>
    <n v="14"/>
    <n v="201.96"/>
    <s v="USA"/>
    <x v="2"/>
  </r>
  <r>
    <d v="2022-06-22T00:00:00"/>
    <x v="2"/>
    <s v="Rajesh Patel"/>
    <n v="7"/>
    <n v="134.24"/>
    <s v="UK"/>
    <x v="3"/>
  </r>
  <r>
    <d v="2022-08-10T00:00:00"/>
    <x v="6"/>
    <s v="Sneha Iyer"/>
    <n v="8"/>
    <n v="85.5"/>
    <s v="Canada"/>
    <x v="7"/>
  </r>
  <r>
    <d v="2022-01-02T00:00:00"/>
    <x v="0"/>
    <s v="Aman Verma"/>
    <n v="3"/>
    <n v="42.45"/>
    <s v="India"/>
    <x v="2"/>
  </r>
  <r>
    <d v="2022-07-03T00:00:00"/>
    <x v="5"/>
    <s v="Aman Verma"/>
    <n v="4"/>
    <n v="43.61"/>
    <s v="UK"/>
    <x v="4"/>
  </r>
  <r>
    <d v="2022-03-21T00:00:00"/>
    <x v="3"/>
    <s v="Rajesh Patel"/>
    <n v="7"/>
    <n v="134.53"/>
    <s v="UK"/>
    <x v="1"/>
  </r>
  <r>
    <d v="2022-04-16T00:00:00"/>
    <x v="0"/>
    <s v="Divya Mehra"/>
    <n v="7"/>
    <n v="141.33000000000001"/>
    <s v="USA"/>
    <x v="5"/>
  </r>
  <r>
    <d v="2022-08-26T00:00:00"/>
    <x v="2"/>
    <s v="Nikhil Batra"/>
    <n v="18"/>
    <n v="336.53"/>
    <s v="UK"/>
    <x v="7"/>
  </r>
  <r>
    <d v="2022-04-22T00:00:00"/>
    <x v="5"/>
    <s v="Rajesh Patel"/>
    <n v="20"/>
    <n v="470.78"/>
    <s v="Australia"/>
    <x v="5"/>
  </r>
  <r>
    <d v="2022-03-17T00:00:00"/>
    <x v="5"/>
    <s v="Aman Verma"/>
    <n v="14"/>
    <n v="163.03"/>
    <s v="UK"/>
    <x v="1"/>
  </r>
  <r>
    <d v="2022-06-28T00:00:00"/>
    <x v="2"/>
    <s v="Rajesh Patel"/>
    <n v="7"/>
    <n v="88.38"/>
    <s v="India"/>
    <x v="3"/>
  </r>
  <r>
    <d v="2022-06-15T00:00:00"/>
    <x v="4"/>
    <s v="Nikhil Batra"/>
    <n v="11"/>
    <n v="127.82"/>
    <s v="USA"/>
    <x v="3"/>
  </r>
  <r>
    <d v="2022-04-30T00:00:00"/>
    <x v="4"/>
    <s v="Priya Singh"/>
    <n v="2"/>
    <n v="30.78"/>
    <s v="Canada"/>
    <x v="5"/>
  </r>
  <r>
    <d v="2022-01-15T00:00:00"/>
    <x v="5"/>
    <s v="Aman Verma"/>
    <n v="11"/>
    <n v="211.91"/>
    <s v="USA"/>
    <x v="2"/>
  </r>
  <r>
    <d v="2022-08-05T00:00:00"/>
    <x v="2"/>
    <s v="Nikhil Batra"/>
    <n v="2"/>
    <n v="34.090000000000003"/>
    <s v="USA"/>
    <x v="7"/>
  </r>
  <r>
    <d v="2022-07-16T00:00:00"/>
    <x v="5"/>
    <s v="Ritika Shah"/>
    <n v="9"/>
    <n v="158.69"/>
    <s v="India"/>
    <x v="4"/>
  </r>
  <r>
    <d v="2022-05-23T00:00:00"/>
    <x v="5"/>
    <s v="Nikhil Batra"/>
    <n v="15"/>
    <n v="355.23"/>
    <s v="Canada"/>
    <x v="6"/>
  </r>
  <r>
    <d v="2022-04-19T00:00:00"/>
    <x v="1"/>
    <s v="Ritika Shah"/>
    <n v="9"/>
    <n v="202.58"/>
    <s v="Canada"/>
    <x v="5"/>
  </r>
  <r>
    <d v="2022-08-05T00:00:00"/>
    <x v="6"/>
    <s v="Nikhil Batra"/>
    <n v="10"/>
    <n v="245.9"/>
    <s v="USA"/>
    <x v="7"/>
  </r>
  <r>
    <d v="2022-08-31T00:00:00"/>
    <x v="5"/>
    <s v="Ritika Shah"/>
    <n v="12"/>
    <n v="270.74"/>
    <s v="Australia"/>
    <x v="7"/>
  </r>
  <r>
    <d v="2022-08-23T00:00:00"/>
    <x v="4"/>
    <s v="Ritika Shah"/>
    <n v="5"/>
    <n v="88.84"/>
    <s v="India"/>
    <x v="7"/>
  </r>
  <r>
    <d v="2022-03-07T00:00:00"/>
    <x v="2"/>
    <s v="Rajesh Patel"/>
    <n v="20"/>
    <n v="433.81"/>
    <s v="USA"/>
    <x v="1"/>
  </r>
  <r>
    <d v="2022-07-25T00:00:00"/>
    <x v="1"/>
    <s v="Divya Mehra"/>
    <n v="2"/>
    <n v="29.63"/>
    <s v="Australia"/>
    <x v="4"/>
  </r>
  <r>
    <d v="2022-02-09T00:00:00"/>
    <x v="4"/>
    <s v="Rajesh Patel"/>
    <n v="15"/>
    <n v="334.05"/>
    <s v="Canada"/>
    <x v="0"/>
  </r>
  <r>
    <d v="2022-02-28T00:00:00"/>
    <x v="5"/>
    <s v="Ritika Shah"/>
    <n v="4"/>
    <n v="52.1"/>
    <s v="India"/>
    <x v="0"/>
  </r>
  <r>
    <d v="2022-05-23T00:00:00"/>
    <x v="1"/>
    <s v="Ritika Shah"/>
    <n v="6"/>
    <n v="51.97"/>
    <s v="UK"/>
    <x v="6"/>
  </r>
  <r>
    <d v="2022-07-31T00:00:00"/>
    <x v="1"/>
    <s v="Priya Singh"/>
    <n v="14"/>
    <n v="324.2"/>
    <s v="USA"/>
    <x v="4"/>
  </r>
  <r>
    <d v="2022-05-26T00:00:00"/>
    <x v="5"/>
    <s v="Aman Verma"/>
    <n v="9"/>
    <n v="155.31"/>
    <s v="UK"/>
    <x v="6"/>
  </r>
  <r>
    <d v="2022-02-25T00:00:00"/>
    <x v="5"/>
    <s v="Priya Singh"/>
    <n v="13"/>
    <n v="205.85"/>
    <s v="UK"/>
    <x v="0"/>
  </r>
  <r>
    <d v="2022-04-05T00:00:00"/>
    <x v="0"/>
    <s v="Divya Mehra"/>
    <n v="4"/>
    <n v="64.28"/>
    <s v="UK"/>
    <x v="5"/>
  </r>
  <r>
    <d v="2022-06-21T00:00:00"/>
    <x v="6"/>
    <s v="Priya Singh"/>
    <n v="1"/>
    <n v="8.09"/>
    <s v="India"/>
    <x v="3"/>
  </r>
  <r>
    <d v="2022-08-02T00:00:00"/>
    <x v="3"/>
    <s v="Ritika Shah"/>
    <n v="10"/>
    <n v="213.75"/>
    <s v="Canada"/>
    <x v="7"/>
  </r>
  <r>
    <d v="2022-04-20T00:00:00"/>
    <x v="0"/>
    <s v="Rajesh Patel"/>
    <n v="18"/>
    <n v="244.76"/>
    <s v="India"/>
    <x v="5"/>
  </r>
  <r>
    <d v="2022-04-27T00:00:00"/>
    <x v="1"/>
    <s v="Nikhil Batra"/>
    <n v="19"/>
    <n v="316.79000000000002"/>
    <s v="India"/>
    <x v="5"/>
  </r>
  <r>
    <d v="2022-06-30T00:00:00"/>
    <x v="6"/>
    <s v="Nikhil Batra"/>
    <n v="20"/>
    <n v="219.72"/>
    <s v="USA"/>
    <x v="3"/>
  </r>
  <r>
    <d v="2022-03-07T00:00:00"/>
    <x v="3"/>
    <s v="Ritika Shah"/>
    <n v="18"/>
    <n v="371.23"/>
    <s v="India"/>
    <x v="1"/>
  </r>
  <r>
    <d v="2022-05-21T00:00:00"/>
    <x v="3"/>
    <s v="Priya Singh"/>
    <n v="12"/>
    <n v="242.44"/>
    <s v="USA"/>
    <x v="6"/>
  </r>
  <r>
    <d v="2022-07-03T00:00:00"/>
    <x v="2"/>
    <s v="Priya Singh"/>
    <n v="18"/>
    <n v="214.09"/>
    <s v="UK"/>
    <x v="4"/>
  </r>
  <r>
    <d v="2022-03-13T00:00:00"/>
    <x v="1"/>
    <s v="Aman Verma"/>
    <n v="20"/>
    <n v="183.48"/>
    <s v="India"/>
    <x v="1"/>
  </r>
  <r>
    <d v="2022-06-10T00:00:00"/>
    <x v="0"/>
    <s v="Rajesh Patel"/>
    <n v="11"/>
    <n v="272.97000000000003"/>
    <s v="Australia"/>
    <x v="3"/>
  </r>
  <r>
    <d v="2022-02-05T00:00:00"/>
    <x v="2"/>
    <s v="Ritika Shah"/>
    <n v="13"/>
    <n v="129.30000000000001"/>
    <s v="UK"/>
    <x v="0"/>
  </r>
  <r>
    <d v="2022-05-23T00:00:00"/>
    <x v="3"/>
    <s v="Ritika Shah"/>
    <n v="5"/>
    <n v="59.7"/>
    <s v="UK"/>
    <x v="6"/>
  </r>
  <r>
    <d v="2022-08-11T00:00:00"/>
    <x v="2"/>
    <s v="Priya Singh"/>
    <n v="20"/>
    <n v="210.82"/>
    <s v="UK"/>
    <x v="7"/>
  </r>
  <r>
    <d v="2022-03-13T00:00:00"/>
    <x v="0"/>
    <s v="Divya Mehra"/>
    <n v="6"/>
    <n v="115.79"/>
    <s v="Canada"/>
    <x v="1"/>
  </r>
  <r>
    <d v="2022-06-06T00:00:00"/>
    <x v="1"/>
    <s v="Rajesh Patel"/>
    <n v="18"/>
    <n v="322.41000000000003"/>
    <s v="UK"/>
    <x v="3"/>
  </r>
  <r>
    <d v="2022-07-20T00:00:00"/>
    <x v="1"/>
    <s v="Divya Mehra"/>
    <n v="4"/>
    <n v="73.39"/>
    <s v="UK"/>
    <x v="4"/>
  </r>
  <r>
    <d v="2022-06-06T00:00:00"/>
    <x v="5"/>
    <s v="Nikhil Batra"/>
    <n v="4"/>
    <n v="50.12"/>
    <s v="USA"/>
    <x v="3"/>
  </r>
  <r>
    <d v="2022-02-27T00:00:00"/>
    <x v="6"/>
    <s v="Aman Verma"/>
    <n v="3"/>
    <n v="45.16"/>
    <s v="UK"/>
    <x v="0"/>
  </r>
  <r>
    <d v="2022-08-28T00:00:00"/>
    <x v="3"/>
    <s v="Divya Mehra"/>
    <n v="16"/>
    <n v="212.81"/>
    <s v="Canada"/>
    <x v="7"/>
  </r>
  <r>
    <d v="2022-05-12T00:00:00"/>
    <x v="6"/>
    <s v="Priya Singh"/>
    <n v="19"/>
    <n v="192.59"/>
    <s v="USA"/>
    <x v="6"/>
  </r>
  <r>
    <d v="2022-06-03T00:00:00"/>
    <x v="6"/>
    <s v="Nikhil Batra"/>
    <n v="2"/>
    <n v="36.56"/>
    <s v="USA"/>
    <x v="3"/>
  </r>
  <r>
    <d v="2022-03-11T00:00:00"/>
    <x v="2"/>
    <s v="Priya Singh"/>
    <n v="15"/>
    <n v="244.66"/>
    <s v="Canada"/>
    <x v="1"/>
  </r>
  <r>
    <d v="2022-05-28T00:00:00"/>
    <x v="3"/>
    <s v="Sneha Iyer"/>
    <n v="17"/>
    <n v="281.12"/>
    <s v="UK"/>
    <x v="6"/>
  </r>
  <r>
    <d v="2022-01-10T00:00:00"/>
    <x v="5"/>
    <s v="Aman Verma"/>
    <n v="19"/>
    <n v="161.94999999999999"/>
    <s v="UK"/>
    <x v="2"/>
  </r>
  <r>
    <d v="2022-01-21T00:00:00"/>
    <x v="0"/>
    <s v="Ritika Shah"/>
    <n v="9"/>
    <n v="180.5"/>
    <s v="Canada"/>
    <x v="2"/>
  </r>
  <r>
    <d v="2022-05-20T00:00:00"/>
    <x v="4"/>
    <s v="Nikhil Batra"/>
    <n v="18"/>
    <n v="426.02"/>
    <s v="UK"/>
    <x v="6"/>
  </r>
  <r>
    <d v="2022-07-09T00:00:00"/>
    <x v="6"/>
    <s v="Priya Singh"/>
    <n v="10"/>
    <n v="101.77"/>
    <s v="USA"/>
    <x v="4"/>
  </r>
  <r>
    <d v="2022-06-19T00:00:00"/>
    <x v="4"/>
    <s v="Priya Singh"/>
    <n v="12"/>
    <n v="132.47999999999999"/>
    <s v="Canada"/>
    <x v="3"/>
  </r>
  <r>
    <d v="2022-05-31T00:00:00"/>
    <x v="4"/>
    <s v="Divya Mehra"/>
    <n v="9"/>
    <n v="82.8"/>
    <s v="Australia"/>
    <x v="6"/>
  </r>
  <r>
    <d v="2022-05-23T00:00:00"/>
    <x v="4"/>
    <s v="Priya Singh"/>
    <n v="1"/>
    <n v="8.51"/>
    <s v="Canada"/>
    <x v="6"/>
  </r>
  <r>
    <d v="2022-01-07T00:00:00"/>
    <x v="3"/>
    <s v="Priya Singh"/>
    <n v="11"/>
    <n v="90.19"/>
    <s v="USA"/>
    <x v="2"/>
  </r>
  <r>
    <d v="2022-07-31T00:00:00"/>
    <x v="5"/>
    <s v="Ritika Shah"/>
    <n v="6"/>
    <n v="60.03"/>
    <s v="UK"/>
    <x v="4"/>
  </r>
  <r>
    <d v="2022-05-24T00:00:00"/>
    <x v="5"/>
    <s v="Sneha Iyer"/>
    <n v="8"/>
    <n v="142.54"/>
    <s v="India"/>
    <x v="6"/>
  </r>
  <r>
    <d v="2022-04-23T00:00:00"/>
    <x v="6"/>
    <s v="Nikhil Batra"/>
    <n v="4"/>
    <n v="96.7"/>
    <s v="India"/>
    <x v="5"/>
  </r>
  <r>
    <d v="2022-03-18T00:00:00"/>
    <x v="6"/>
    <s v="Ritika Shah"/>
    <n v="15"/>
    <n v="151.63999999999999"/>
    <s v="Australia"/>
    <x v="1"/>
  </r>
  <r>
    <d v="2022-08-25T00:00:00"/>
    <x v="1"/>
    <s v="Divya Mehra"/>
    <n v="15"/>
    <n v="197.97"/>
    <s v="Canada"/>
    <x v="7"/>
  </r>
  <r>
    <d v="2022-03-04T00:00:00"/>
    <x v="6"/>
    <s v="Divya Mehra"/>
    <n v="9"/>
    <n v="182.35"/>
    <s v="India"/>
    <x v="1"/>
  </r>
  <r>
    <d v="2022-03-24T00:00:00"/>
    <x v="3"/>
    <s v="Divya Mehra"/>
    <n v="19"/>
    <n v="443.56"/>
    <s v="Canada"/>
    <x v="1"/>
  </r>
  <r>
    <d v="2022-03-27T00:00:00"/>
    <x v="1"/>
    <s v="Rajesh Patel"/>
    <n v="9"/>
    <n v="89.01"/>
    <s v="Canada"/>
    <x v="1"/>
  </r>
  <r>
    <d v="2022-05-18T00:00:00"/>
    <x v="5"/>
    <s v="Aman Verma"/>
    <n v="1"/>
    <n v="10.32"/>
    <s v="USA"/>
    <x v="6"/>
  </r>
  <r>
    <d v="2022-05-14T00:00:00"/>
    <x v="6"/>
    <s v="Sneha Iyer"/>
    <n v="20"/>
    <n v="414.06"/>
    <s v="USA"/>
    <x v="6"/>
  </r>
  <r>
    <d v="2022-02-08T00:00:00"/>
    <x v="2"/>
    <s v="Sneha Iyer"/>
    <n v="10"/>
    <n v="159.21"/>
    <s v="Australia"/>
    <x v="0"/>
  </r>
  <r>
    <d v="2022-02-20T00:00:00"/>
    <x v="4"/>
    <s v="Divya Mehra"/>
    <n v="18"/>
    <n v="195.1"/>
    <s v="Canada"/>
    <x v="0"/>
  </r>
  <r>
    <d v="2022-08-21T00:00:00"/>
    <x v="5"/>
    <s v="Aman Verma"/>
    <n v="19"/>
    <n v="386.61"/>
    <s v="USA"/>
    <x v="7"/>
  </r>
  <r>
    <d v="2022-07-28T00:00:00"/>
    <x v="3"/>
    <s v="Ritika Shah"/>
    <n v="1"/>
    <n v="22.99"/>
    <s v="USA"/>
    <x v="4"/>
  </r>
  <r>
    <d v="2022-05-29T00:00:00"/>
    <x v="2"/>
    <s v="Priya Singh"/>
    <n v="17"/>
    <n v="290.44"/>
    <s v="UK"/>
    <x v="6"/>
  </r>
  <r>
    <d v="2022-05-19T00:00:00"/>
    <x v="0"/>
    <s v="Aman Verma"/>
    <n v="5"/>
    <n v="79.459999999999994"/>
    <s v="India"/>
    <x v="6"/>
  </r>
  <r>
    <d v="2022-08-14T00:00:00"/>
    <x v="4"/>
    <s v="Nikhil Batra"/>
    <n v="2"/>
    <n v="48.19"/>
    <s v="UK"/>
    <x v="7"/>
  </r>
  <r>
    <d v="2022-01-10T00:00:00"/>
    <x v="2"/>
    <s v="Sneha Iyer"/>
    <n v="19"/>
    <n v="166.83"/>
    <s v="India"/>
    <x v="2"/>
  </r>
  <r>
    <d v="2022-04-03T00:00:00"/>
    <x v="3"/>
    <s v="Rajesh Patel"/>
    <n v="3"/>
    <n v="40.32"/>
    <s v="USA"/>
    <x v="5"/>
  </r>
  <r>
    <d v="2022-06-27T00:00:00"/>
    <x v="6"/>
    <s v="Rajesh Patel"/>
    <n v="15"/>
    <n v="176.45"/>
    <s v="USA"/>
    <x v="3"/>
  </r>
  <r>
    <d v="2022-03-26T00:00:00"/>
    <x v="1"/>
    <s v="Nikhil Batra"/>
    <n v="1"/>
    <n v="9.4"/>
    <s v="UK"/>
    <x v="1"/>
  </r>
  <r>
    <d v="2022-01-29T00:00:00"/>
    <x v="6"/>
    <s v="Rajesh Patel"/>
    <n v="11"/>
    <n v="176.73"/>
    <s v="Australia"/>
    <x v="2"/>
  </r>
  <r>
    <d v="2022-03-10T00:00:00"/>
    <x v="0"/>
    <s v="Divya Mehra"/>
    <n v="16"/>
    <n v="235.83"/>
    <s v="Canada"/>
    <x v="1"/>
  </r>
  <r>
    <d v="2022-02-08T00:00:00"/>
    <x v="3"/>
    <s v="Aman Verma"/>
    <n v="11"/>
    <n v="106.76"/>
    <s v="Canada"/>
    <x v="0"/>
  </r>
  <r>
    <d v="2022-07-24T00:00:00"/>
    <x v="2"/>
    <s v="Divya Mehra"/>
    <n v="12"/>
    <n v="100.6"/>
    <s v="USA"/>
    <x v="4"/>
  </r>
  <r>
    <d v="2022-03-22T00:00:00"/>
    <x v="5"/>
    <s v="Rajesh Patel"/>
    <n v="11"/>
    <n v="214"/>
    <s v="Canada"/>
    <x v="1"/>
  </r>
  <r>
    <d v="2022-05-05T00:00:00"/>
    <x v="4"/>
    <s v="Nikhil Batra"/>
    <n v="13"/>
    <n v="315.98"/>
    <s v="India"/>
    <x v="6"/>
  </r>
  <r>
    <d v="2022-02-11T00:00:00"/>
    <x v="4"/>
    <s v="Priya Singh"/>
    <n v="1"/>
    <n v="13.06"/>
    <s v="India"/>
    <x v="0"/>
  </r>
  <r>
    <d v="2022-02-27T00:00:00"/>
    <x v="2"/>
    <s v="Ritika Shah"/>
    <n v="3"/>
    <n v="44.25"/>
    <s v="India"/>
    <x v="0"/>
  </r>
  <r>
    <d v="2022-07-18T00:00:00"/>
    <x v="0"/>
    <s v="Ritika Shah"/>
    <n v="5"/>
    <n v="97.26"/>
    <s v="Canada"/>
    <x v="4"/>
  </r>
  <r>
    <d v="2022-07-29T00:00:00"/>
    <x v="1"/>
    <s v="Rajesh Patel"/>
    <n v="20"/>
    <n v="380.27"/>
    <s v="Canada"/>
    <x v="4"/>
  </r>
  <r>
    <d v="2022-04-14T00:00:00"/>
    <x v="0"/>
    <s v="Rajesh Patel"/>
    <n v="9"/>
    <n v="79.13"/>
    <s v="UK"/>
    <x v="5"/>
  </r>
  <r>
    <d v="2022-06-23T00:00:00"/>
    <x v="4"/>
    <s v="Priya Singh"/>
    <n v="3"/>
    <n v="56.2"/>
    <s v="Australia"/>
    <x v="3"/>
  </r>
  <r>
    <d v="2022-06-05T00:00:00"/>
    <x v="5"/>
    <s v="Priya Singh"/>
    <n v="7"/>
    <n v="156.91999999999999"/>
    <s v="Canada"/>
    <x v="3"/>
  </r>
  <r>
    <d v="2022-05-18T00:00:00"/>
    <x v="1"/>
    <s v="Ritika Shah"/>
    <n v="13"/>
    <n v="187.47"/>
    <s v="India"/>
    <x v="6"/>
  </r>
  <r>
    <d v="2022-05-14T00:00:00"/>
    <x v="4"/>
    <s v="Divya Mehra"/>
    <n v="14"/>
    <n v="234.19"/>
    <s v="USA"/>
    <x v="6"/>
  </r>
  <r>
    <d v="2022-04-26T00:00:00"/>
    <x v="1"/>
    <s v="Nikhil Batra"/>
    <n v="12"/>
    <n v="248.77"/>
    <s v="USA"/>
    <x v="5"/>
  </r>
  <r>
    <d v="2022-01-19T00:00:00"/>
    <x v="3"/>
    <s v="Aman Verma"/>
    <n v="11"/>
    <n v="224.04"/>
    <s v="Canada"/>
    <x v="2"/>
  </r>
  <r>
    <d v="2022-05-06T00:00:00"/>
    <x v="3"/>
    <s v="Aman Verma"/>
    <n v="8"/>
    <n v="88.55"/>
    <s v="Canada"/>
    <x v="6"/>
  </r>
  <r>
    <d v="2022-03-02T00:00:00"/>
    <x v="2"/>
    <s v="Rajesh Patel"/>
    <n v="20"/>
    <n v="302.63"/>
    <s v="UK"/>
    <x v="1"/>
  </r>
  <r>
    <d v="2022-02-23T00:00:00"/>
    <x v="0"/>
    <s v="Divya Mehra"/>
    <n v="6"/>
    <n v="127.61"/>
    <s v="USA"/>
    <x v="0"/>
  </r>
  <r>
    <d v="2022-07-17T00:00:00"/>
    <x v="3"/>
    <s v="Aman Verma"/>
    <n v="7"/>
    <n v="85.93"/>
    <s v="Canada"/>
    <x v="4"/>
  </r>
  <r>
    <d v="2022-04-01T00:00:00"/>
    <x v="2"/>
    <s v="Sneha Iyer"/>
    <n v="9"/>
    <n v="112.85"/>
    <s v="USA"/>
    <x v="5"/>
  </r>
  <r>
    <d v="2022-08-02T00:00:00"/>
    <x v="6"/>
    <s v="Nikhil Batra"/>
    <n v="2"/>
    <n v="18.27"/>
    <s v="USA"/>
    <x v="7"/>
  </r>
  <r>
    <d v="2022-08-01T00:00:00"/>
    <x v="4"/>
    <s v="Aman Verma"/>
    <n v="6"/>
    <n v="55.27"/>
    <s v="Australia"/>
    <x v="7"/>
  </r>
  <r>
    <d v="2022-06-26T00:00:00"/>
    <x v="3"/>
    <s v="Rajesh Patel"/>
    <n v="11"/>
    <n v="186.86"/>
    <s v="India"/>
    <x v="3"/>
  </r>
  <r>
    <d v="2022-05-23T00:00:00"/>
    <x v="3"/>
    <s v="Sneha Iyer"/>
    <n v="17"/>
    <n v="350.78"/>
    <s v="UK"/>
    <x v="6"/>
  </r>
  <r>
    <d v="2022-06-11T00:00:00"/>
    <x v="6"/>
    <s v="Sneha Iyer"/>
    <n v="2"/>
    <n v="46.75"/>
    <s v="Australia"/>
    <x v="3"/>
  </r>
  <r>
    <d v="2022-05-24T00:00:00"/>
    <x v="3"/>
    <s v="Ritika Shah"/>
    <n v="19"/>
    <n v="326.36"/>
    <s v="India"/>
    <x v="6"/>
  </r>
  <r>
    <d v="2022-05-23T00:00:00"/>
    <x v="4"/>
    <s v="Rajesh Patel"/>
    <n v="1"/>
    <n v="12.41"/>
    <s v="Australia"/>
    <x v="6"/>
  </r>
  <r>
    <d v="2022-05-09T00:00:00"/>
    <x v="4"/>
    <s v="Nikhil Batra"/>
    <n v="15"/>
    <n v="223.3"/>
    <s v="UK"/>
    <x v="6"/>
  </r>
  <r>
    <d v="2022-02-01T00:00:00"/>
    <x v="5"/>
    <s v="Rajesh Patel"/>
    <n v="19"/>
    <n v="202.9"/>
    <s v="India"/>
    <x v="0"/>
  </r>
  <r>
    <d v="2022-08-01T00:00:00"/>
    <x v="0"/>
    <s v="Divya Mehra"/>
    <n v="3"/>
    <n v="56.22"/>
    <s v="USA"/>
    <x v="7"/>
  </r>
  <r>
    <d v="2022-08-23T00:00:00"/>
    <x v="3"/>
    <s v="Aman Verma"/>
    <n v="10"/>
    <n v="246.29"/>
    <s v="Australia"/>
    <x v="7"/>
  </r>
  <r>
    <d v="2022-04-11T00:00:00"/>
    <x v="2"/>
    <s v="Ritika Shah"/>
    <n v="18"/>
    <n v="329.35"/>
    <s v="India"/>
    <x v="5"/>
  </r>
  <r>
    <d v="2022-04-19T00:00:00"/>
    <x v="5"/>
    <s v="Sneha Iyer"/>
    <n v="14"/>
    <n v="349.22"/>
    <s v="USA"/>
    <x v="5"/>
  </r>
  <r>
    <d v="2022-02-11T00:00:00"/>
    <x v="0"/>
    <s v="Rajesh Patel"/>
    <n v="15"/>
    <n v="268.43"/>
    <s v="Canada"/>
    <x v="0"/>
  </r>
  <r>
    <d v="2022-02-21T00:00:00"/>
    <x v="1"/>
    <s v="Sneha Iyer"/>
    <n v="14"/>
    <n v="319.69"/>
    <s v="USA"/>
    <x v="0"/>
  </r>
  <r>
    <d v="2022-06-23T00:00:00"/>
    <x v="5"/>
    <s v="Aman Verma"/>
    <n v="11"/>
    <n v="166.88"/>
    <s v="Australia"/>
    <x v="3"/>
  </r>
  <r>
    <d v="2022-05-05T00:00:00"/>
    <x v="0"/>
    <s v="Priya Singh"/>
    <n v="2"/>
    <n v="29.69"/>
    <s v="India"/>
    <x v="6"/>
  </r>
  <r>
    <d v="2022-04-24T00:00:00"/>
    <x v="6"/>
    <s v="Nikhil Batra"/>
    <n v="13"/>
    <n v="193.09"/>
    <s v="Canada"/>
    <x v="5"/>
  </r>
  <r>
    <d v="2022-06-26T00:00:00"/>
    <x v="6"/>
    <s v="Nikhil Batra"/>
    <n v="16"/>
    <n v="276.52999999999997"/>
    <s v="India"/>
    <x v="3"/>
  </r>
  <r>
    <d v="2022-08-21T00:00:00"/>
    <x v="0"/>
    <s v="Nikhil Batra"/>
    <n v="2"/>
    <n v="49.91"/>
    <s v="Australia"/>
    <x v="7"/>
  </r>
  <r>
    <d v="2022-06-25T00:00:00"/>
    <x v="3"/>
    <s v="Aman Verma"/>
    <n v="16"/>
    <n v="131.88"/>
    <s v="Australia"/>
    <x v="3"/>
  </r>
  <r>
    <d v="2022-02-08T00:00:00"/>
    <x v="4"/>
    <s v="Rajesh Patel"/>
    <n v="16"/>
    <n v="306.63"/>
    <s v="Canada"/>
    <x v="0"/>
  </r>
  <r>
    <d v="2022-07-11T00:00:00"/>
    <x v="6"/>
    <s v="Ritika Shah"/>
    <n v="8"/>
    <n v="162.66999999999999"/>
    <s v="Canada"/>
    <x v="4"/>
  </r>
  <r>
    <d v="2022-07-24T00:00:00"/>
    <x v="6"/>
    <s v="Priya Singh"/>
    <n v="20"/>
    <n v="216.6"/>
    <s v="India"/>
    <x v="4"/>
  </r>
  <r>
    <d v="2022-05-28T00:00:00"/>
    <x v="1"/>
    <s v="Nikhil Batra"/>
    <n v="20"/>
    <n v="427.81"/>
    <s v="USA"/>
    <x v="6"/>
  </r>
  <r>
    <d v="2022-05-25T00:00:00"/>
    <x v="5"/>
    <s v="Priya Singh"/>
    <n v="5"/>
    <n v="79.489999999999995"/>
    <s v="Australia"/>
    <x v="6"/>
  </r>
  <r>
    <d v="2022-06-16T00:00:00"/>
    <x v="5"/>
    <s v="Divya Mehra"/>
    <n v="16"/>
    <n v="300.37"/>
    <s v="UK"/>
    <x v="3"/>
  </r>
  <r>
    <d v="2022-02-18T00:00:00"/>
    <x v="4"/>
    <s v="Divya Mehra"/>
    <n v="3"/>
    <n v="73.09"/>
    <s v="Canada"/>
    <x v="0"/>
  </r>
  <r>
    <d v="2022-04-24T00:00:00"/>
    <x v="0"/>
    <s v="Priya Singh"/>
    <n v="11"/>
    <n v="125.38"/>
    <s v="USA"/>
    <x v="5"/>
  </r>
  <r>
    <d v="2022-05-18T00:00:00"/>
    <x v="1"/>
    <s v="Nikhil Batra"/>
    <n v="15"/>
    <n v="155.47999999999999"/>
    <s v="USA"/>
    <x v="6"/>
  </r>
  <r>
    <d v="2022-07-14T00:00:00"/>
    <x v="2"/>
    <s v="Ritika Shah"/>
    <n v="16"/>
    <n v="340.68"/>
    <s v="UK"/>
    <x v="4"/>
  </r>
  <r>
    <d v="2022-07-23T00:00:00"/>
    <x v="0"/>
    <s v="Divya Mehra"/>
    <n v="5"/>
    <n v="49.44"/>
    <s v="Australia"/>
    <x v="4"/>
  </r>
  <r>
    <d v="2022-07-02T00:00:00"/>
    <x v="1"/>
    <s v="Rajesh Patel"/>
    <n v="14"/>
    <n v="344.7"/>
    <s v="USA"/>
    <x v="4"/>
  </r>
  <r>
    <d v="2022-07-06T00:00:00"/>
    <x v="4"/>
    <s v="Divya Mehra"/>
    <n v="5"/>
    <n v="95.03"/>
    <s v="Australia"/>
    <x v="4"/>
  </r>
  <r>
    <d v="2022-04-22T00:00:00"/>
    <x v="4"/>
    <s v="Sneha Iyer"/>
    <n v="3"/>
    <n v="52.4"/>
    <s v="USA"/>
    <x v="5"/>
  </r>
  <r>
    <d v="2022-04-26T00:00:00"/>
    <x v="5"/>
    <s v="Nikhil Batra"/>
    <n v="5"/>
    <n v="106.94"/>
    <s v="USA"/>
    <x v="5"/>
  </r>
  <r>
    <d v="2022-03-25T00:00:00"/>
    <x v="1"/>
    <s v="Priya Singh"/>
    <n v="5"/>
    <n v="94.04"/>
    <s v="USA"/>
    <x v="1"/>
  </r>
  <r>
    <d v="2022-01-06T00:00:00"/>
    <x v="4"/>
    <s v="Sneha Iyer"/>
    <n v="3"/>
    <n v="54.15"/>
    <s v="Canada"/>
    <x v="2"/>
  </r>
  <r>
    <d v="2022-04-30T00:00:00"/>
    <x v="6"/>
    <s v="Ritika Shah"/>
    <n v="14"/>
    <n v="115.82"/>
    <s v="UK"/>
    <x v="5"/>
  </r>
  <r>
    <d v="2022-06-19T00:00:00"/>
    <x v="6"/>
    <s v="Rajesh Patel"/>
    <n v="9"/>
    <n v="204"/>
    <s v="UK"/>
    <x v="3"/>
  </r>
  <r>
    <d v="2022-07-07T00:00:00"/>
    <x v="6"/>
    <s v="Rajesh Patel"/>
    <n v="1"/>
    <n v="19.920000000000002"/>
    <s v="UK"/>
    <x v="4"/>
  </r>
  <r>
    <d v="2022-05-27T00:00:00"/>
    <x v="3"/>
    <s v="Ritika Shah"/>
    <n v="12"/>
    <n v="151.09"/>
    <s v="Canada"/>
    <x v="6"/>
  </r>
  <r>
    <d v="2022-07-27T00:00:00"/>
    <x v="2"/>
    <s v="Priya Singh"/>
    <n v="3"/>
    <n v="59.89"/>
    <s v="India"/>
    <x v="4"/>
  </r>
  <r>
    <d v="2022-05-31T00:00:00"/>
    <x v="4"/>
    <s v="Ritika Shah"/>
    <n v="15"/>
    <n v="363.94"/>
    <s v="Canada"/>
    <x v="6"/>
  </r>
  <r>
    <d v="2022-05-18T00:00:00"/>
    <x v="3"/>
    <s v="Sneha Iyer"/>
    <n v="7"/>
    <n v="91.95"/>
    <s v="UK"/>
    <x v="6"/>
  </r>
  <r>
    <d v="2022-06-16T00:00:00"/>
    <x v="6"/>
    <s v="Priya Singh"/>
    <n v="15"/>
    <n v="150.34"/>
    <s v="UK"/>
    <x v="3"/>
  </r>
  <r>
    <d v="2022-05-17T00:00:00"/>
    <x v="6"/>
    <s v="Ritika Shah"/>
    <n v="17"/>
    <n v="180.65"/>
    <s v="Australia"/>
    <x v="6"/>
  </r>
  <r>
    <d v="2022-02-05T00:00:00"/>
    <x v="3"/>
    <s v="Rajesh Patel"/>
    <n v="8"/>
    <n v="110.6"/>
    <s v="India"/>
    <x v="0"/>
  </r>
  <r>
    <d v="2022-04-14T00:00:00"/>
    <x v="0"/>
    <s v="Nikhil Batra"/>
    <n v="20"/>
    <n v="330.3"/>
    <s v="Australia"/>
    <x v="5"/>
  </r>
  <r>
    <d v="2022-07-01T00:00:00"/>
    <x v="2"/>
    <s v="Aman Verma"/>
    <n v="8"/>
    <n v="93.83"/>
    <s v="USA"/>
    <x v="4"/>
  </r>
  <r>
    <d v="2022-01-11T00:00:00"/>
    <x v="1"/>
    <s v="Divya Mehra"/>
    <n v="19"/>
    <n v="210.77"/>
    <s v="UK"/>
    <x v="2"/>
  </r>
  <r>
    <d v="2022-06-09T00:00:00"/>
    <x v="0"/>
    <s v="Ritika Shah"/>
    <n v="14"/>
    <n v="307.75"/>
    <s v="USA"/>
    <x v="3"/>
  </r>
  <r>
    <d v="2022-06-02T00:00:00"/>
    <x v="3"/>
    <s v="Rajesh Patel"/>
    <n v="18"/>
    <n v="149.85"/>
    <s v="Australia"/>
    <x v="3"/>
  </r>
  <r>
    <d v="2022-07-09T00:00:00"/>
    <x v="6"/>
    <s v="Aman Verma"/>
    <n v="20"/>
    <n v="176.04"/>
    <s v="UK"/>
    <x v="4"/>
  </r>
  <r>
    <d v="2022-07-10T00:00:00"/>
    <x v="4"/>
    <s v="Divya Mehra"/>
    <n v="8"/>
    <n v="102.72"/>
    <s v="USA"/>
    <x v="4"/>
  </r>
  <r>
    <d v="2022-08-06T00:00:00"/>
    <x v="2"/>
    <s v="Priya Singh"/>
    <n v="18"/>
    <n v="224.44"/>
    <s v="Australia"/>
    <x v="7"/>
  </r>
  <r>
    <d v="2022-02-14T00:00:00"/>
    <x v="5"/>
    <s v="Sneha Iyer"/>
    <n v="1"/>
    <n v="23.68"/>
    <s v="Australia"/>
    <x v="0"/>
  </r>
  <r>
    <d v="2022-05-04T00:00:00"/>
    <x v="6"/>
    <s v="Divya Mehra"/>
    <n v="2"/>
    <n v="47.79"/>
    <s v="Australia"/>
    <x v="6"/>
  </r>
  <r>
    <d v="2022-08-17T00:00:00"/>
    <x v="1"/>
    <s v="Priya Singh"/>
    <n v="10"/>
    <n v="154.6"/>
    <s v="India"/>
    <x v="7"/>
  </r>
  <r>
    <d v="2022-05-17T00:00:00"/>
    <x v="6"/>
    <s v="Nikhil Batra"/>
    <n v="8"/>
    <n v="158.49"/>
    <s v="India"/>
    <x v="6"/>
  </r>
  <r>
    <d v="2022-08-02T00:00:00"/>
    <x v="5"/>
    <s v="Sneha Iyer"/>
    <n v="7"/>
    <n v="68.989999999999995"/>
    <s v="India"/>
    <x v="7"/>
  </r>
  <r>
    <d v="2022-05-21T00:00:00"/>
    <x v="5"/>
    <s v="Nikhil Batra"/>
    <n v="9"/>
    <n v="186.56"/>
    <s v="India"/>
    <x v="6"/>
  </r>
  <r>
    <d v="2022-06-21T00:00:00"/>
    <x v="2"/>
    <s v="Aman Verma"/>
    <n v="2"/>
    <n v="36.61"/>
    <s v="Canada"/>
    <x v="3"/>
  </r>
  <r>
    <d v="2022-01-08T00:00:00"/>
    <x v="2"/>
    <s v="Priya Singh"/>
    <n v="16"/>
    <n v="392.8"/>
    <s v="Australia"/>
    <x v="2"/>
  </r>
  <r>
    <d v="2022-06-11T00:00:00"/>
    <x v="6"/>
    <s v="Ritika Shah"/>
    <n v="5"/>
    <n v="82.32"/>
    <s v="India"/>
    <x v="3"/>
  </r>
  <r>
    <d v="2022-04-08T00:00:00"/>
    <x v="5"/>
    <s v="Nikhil Batra"/>
    <n v="6"/>
    <n v="128.69"/>
    <s v="UK"/>
    <x v="5"/>
  </r>
  <r>
    <d v="2022-08-04T00:00:00"/>
    <x v="0"/>
    <s v="Nikhil Batra"/>
    <n v="13"/>
    <n v="323.95999999999998"/>
    <s v="USA"/>
    <x v="7"/>
  </r>
  <r>
    <d v="2022-03-13T00:00:00"/>
    <x v="6"/>
    <s v="Rajesh Patel"/>
    <n v="9"/>
    <n v="180.57"/>
    <s v="Australia"/>
    <x v="1"/>
  </r>
  <r>
    <d v="2022-08-25T00:00:00"/>
    <x v="1"/>
    <s v="Rajesh Patel"/>
    <n v="18"/>
    <n v="229.15"/>
    <s v="UK"/>
    <x v="7"/>
  </r>
  <r>
    <d v="2022-08-19T00:00:00"/>
    <x v="0"/>
    <s v="Rajesh Patel"/>
    <n v="7"/>
    <n v="163.5"/>
    <s v="USA"/>
    <x v="7"/>
  </r>
  <r>
    <d v="2022-03-10T00:00:00"/>
    <x v="1"/>
    <s v="Sneha Iyer"/>
    <n v="6"/>
    <n v="124.34"/>
    <s v="India"/>
    <x v="1"/>
  </r>
  <r>
    <d v="2022-02-21T00:00:00"/>
    <x v="6"/>
    <s v="Rajesh Patel"/>
    <n v="5"/>
    <n v="64.33"/>
    <s v="UK"/>
    <x v="0"/>
  </r>
  <r>
    <d v="2022-05-04T00:00:00"/>
    <x v="1"/>
    <s v="Divya Mehra"/>
    <n v="8"/>
    <n v="94.84"/>
    <s v="India"/>
    <x v="6"/>
  </r>
  <r>
    <d v="2022-01-19T00:00:00"/>
    <x v="3"/>
    <s v="Priya Singh"/>
    <n v="18"/>
    <n v="432"/>
    <s v="Canada"/>
    <x v="2"/>
  </r>
  <r>
    <d v="2022-06-03T00:00:00"/>
    <x v="4"/>
    <s v="Aman Verma"/>
    <n v="19"/>
    <n v="368.72"/>
    <s v="USA"/>
    <x v="3"/>
  </r>
  <r>
    <d v="2022-07-09T00:00:00"/>
    <x v="6"/>
    <s v="Nikhil Batra"/>
    <n v="20"/>
    <n v="486.94"/>
    <s v="India"/>
    <x v="4"/>
  </r>
  <r>
    <d v="2022-08-10T00:00:00"/>
    <x v="1"/>
    <s v="Divya Mehra"/>
    <n v="13"/>
    <n v="320.79000000000002"/>
    <s v="India"/>
    <x v="7"/>
  </r>
  <r>
    <d v="2022-07-13T00:00:00"/>
    <x v="3"/>
    <s v="Rajesh Patel"/>
    <n v="18"/>
    <n v="431.39"/>
    <s v="India"/>
    <x v="4"/>
  </r>
  <r>
    <d v="2022-02-25T00:00:00"/>
    <x v="5"/>
    <s v="Sneha Iyer"/>
    <n v="4"/>
    <n v="67.5"/>
    <s v="UK"/>
    <x v="0"/>
  </r>
  <r>
    <d v="2022-07-27T00:00:00"/>
    <x v="4"/>
    <s v="Priya Singh"/>
    <n v="15"/>
    <n v="220.62"/>
    <s v="India"/>
    <x v="4"/>
  </r>
  <r>
    <d v="2022-08-13T00:00:00"/>
    <x v="4"/>
    <s v="Rajesh Patel"/>
    <n v="5"/>
    <n v="97.52"/>
    <s v="India"/>
    <x v="7"/>
  </r>
  <r>
    <d v="2022-08-27T00:00:00"/>
    <x v="1"/>
    <s v="Nikhil Batra"/>
    <n v="6"/>
    <n v="112.49"/>
    <s v="USA"/>
    <x v="7"/>
  </r>
  <r>
    <d v="2022-03-18T00:00:00"/>
    <x v="1"/>
    <s v="Aman Verma"/>
    <n v="2"/>
    <n v="45.57"/>
    <s v="Canada"/>
    <x v="1"/>
  </r>
  <r>
    <d v="2022-07-17T00:00:00"/>
    <x v="5"/>
    <s v="Nikhil Batra"/>
    <n v="9"/>
    <n v="100.77"/>
    <s v="UK"/>
    <x v="4"/>
  </r>
  <r>
    <d v="2022-04-29T00:00:00"/>
    <x v="3"/>
    <s v="Nikhil Batra"/>
    <n v="12"/>
    <n v="295.77999999999997"/>
    <s v="Australia"/>
    <x v="5"/>
  </r>
  <r>
    <d v="2022-06-07T00:00:00"/>
    <x v="3"/>
    <s v="Rajesh Patel"/>
    <n v="17"/>
    <n v="381.45"/>
    <s v="UK"/>
    <x v="3"/>
  </r>
  <r>
    <d v="2022-01-31T00:00:00"/>
    <x v="6"/>
    <s v="Divya Mehra"/>
    <n v="11"/>
    <n v="155.16"/>
    <s v="Canada"/>
    <x v="2"/>
  </r>
  <r>
    <d v="2022-05-31T00:00:00"/>
    <x v="3"/>
    <s v="Ritika Shah"/>
    <n v="18"/>
    <n v="309.25"/>
    <s v="Australia"/>
    <x v="6"/>
  </r>
  <r>
    <d v="2022-06-05T00:00:00"/>
    <x v="0"/>
    <s v="Rajesh Patel"/>
    <n v="3"/>
    <n v="48.59"/>
    <s v="UK"/>
    <x v="3"/>
  </r>
  <r>
    <d v="2022-01-26T00:00:00"/>
    <x v="5"/>
    <s v="Priya Singh"/>
    <n v="14"/>
    <n v="141.91999999999999"/>
    <s v="Canada"/>
    <x v="2"/>
  </r>
  <r>
    <d v="2022-08-25T00:00:00"/>
    <x v="2"/>
    <s v="Aman Verma"/>
    <n v="4"/>
    <n v="67.94"/>
    <s v="USA"/>
    <x v="7"/>
  </r>
  <r>
    <d v="2022-01-14T00:00:00"/>
    <x v="5"/>
    <s v="Nikhil Batra"/>
    <n v="13"/>
    <n v="289.57"/>
    <s v="USA"/>
    <x v="2"/>
  </r>
  <r>
    <d v="2022-03-23T00:00:00"/>
    <x v="6"/>
    <s v="Sneha Iyer"/>
    <n v="19"/>
    <n v="335.15"/>
    <s v="Australia"/>
    <x v="1"/>
  </r>
  <r>
    <d v="2022-08-03T00:00:00"/>
    <x v="4"/>
    <s v="Aman Verma"/>
    <n v="6"/>
    <n v="88.2"/>
    <s v="India"/>
    <x v="7"/>
  </r>
  <r>
    <d v="2022-04-05T00:00:00"/>
    <x v="6"/>
    <s v="Ritika Shah"/>
    <n v="2"/>
    <n v="47.92"/>
    <s v="Canada"/>
    <x v="5"/>
  </r>
  <r>
    <d v="2022-01-28T00:00:00"/>
    <x v="1"/>
    <s v="Rajesh Patel"/>
    <n v="7"/>
    <n v="65.17"/>
    <s v="Australia"/>
    <x v="2"/>
  </r>
  <r>
    <d v="2022-01-16T00:00:00"/>
    <x v="4"/>
    <s v="Divya Mehra"/>
    <n v="3"/>
    <n v="27.98"/>
    <s v="USA"/>
    <x v="2"/>
  </r>
  <r>
    <d v="2022-02-21T00:00:00"/>
    <x v="6"/>
    <s v="Aman Verma"/>
    <n v="8"/>
    <n v="197.83"/>
    <s v="USA"/>
    <x v="0"/>
  </r>
  <r>
    <d v="2022-03-02T00:00:00"/>
    <x v="5"/>
    <s v="Nikhil Batra"/>
    <n v="11"/>
    <n v="204.72"/>
    <s v="Canada"/>
    <x v="1"/>
  </r>
  <r>
    <d v="2022-03-02T00:00:00"/>
    <x v="0"/>
    <s v="Divya Mehra"/>
    <n v="17"/>
    <n v="316.18"/>
    <s v="UK"/>
    <x v="1"/>
  </r>
  <r>
    <d v="2022-02-20T00:00:00"/>
    <x v="1"/>
    <s v="Aman Verma"/>
    <n v="8"/>
    <n v="81.36"/>
    <s v="Australia"/>
    <x v="0"/>
  </r>
  <r>
    <d v="2022-03-13T00:00:00"/>
    <x v="0"/>
    <s v="Divya Mehra"/>
    <n v="18"/>
    <n v="315.74"/>
    <s v="India"/>
    <x v="1"/>
  </r>
  <r>
    <d v="2022-02-02T00:00:00"/>
    <x v="3"/>
    <s v="Aman Verma"/>
    <n v="4"/>
    <n v="88.26"/>
    <s v="India"/>
    <x v="0"/>
  </r>
  <r>
    <d v="2022-07-20T00:00:00"/>
    <x v="0"/>
    <s v="Priya Singh"/>
    <n v="2"/>
    <n v="28.36"/>
    <s v="Canada"/>
    <x v="4"/>
  </r>
  <r>
    <d v="2022-05-03T00:00:00"/>
    <x v="2"/>
    <s v="Nikhil Batra"/>
    <n v="9"/>
    <n v="138.31"/>
    <s v="Canada"/>
    <x v="6"/>
  </r>
  <r>
    <d v="2022-05-02T00:00:00"/>
    <x v="0"/>
    <s v="Aman Verma"/>
    <n v="18"/>
    <n v="260.35000000000002"/>
    <s v="USA"/>
    <x v="6"/>
  </r>
  <r>
    <d v="2022-06-25T00:00:00"/>
    <x v="2"/>
    <s v="Priya Singh"/>
    <n v="13"/>
    <n v="227.31"/>
    <s v="UK"/>
    <x v="3"/>
  </r>
  <r>
    <d v="2022-08-25T00:00:00"/>
    <x v="6"/>
    <s v="Rajesh Patel"/>
    <n v="16"/>
    <n v="130.5"/>
    <s v="Australia"/>
    <x v="7"/>
  </r>
  <r>
    <d v="2022-07-27T00:00:00"/>
    <x v="5"/>
    <s v="Divya Mehra"/>
    <n v="4"/>
    <n v="86.5"/>
    <s v="USA"/>
    <x v="4"/>
  </r>
  <r>
    <d v="2022-08-26T00:00:00"/>
    <x v="4"/>
    <s v="Nikhil Batra"/>
    <n v="19"/>
    <n v="364.12"/>
    <s v="Australia"/>
    <x v="7"/>
  </r>
  <r>
    <d v="2022-05-13T00:00:00"/>
    <x v="4"/>
    <s v="Nikhil Batra"/>
    <n v="7"/>
    <n v="134.85"/>
    <s v="UK"/>
    <x v="6"/>
  </r>
  <r>
    <d v="2022-02-12T00:00:00"/>
    <x v="3"/>
    <s v="Sneha Iyer"/>
    <n v="14"/>
    <n v="290.45"/>
    <s v="UK"/>
    <x v="0"/>
  </r>
  <r>
    <d v="2022-03-14T00:00:00"/>
    <x v="6"/>
    <s v="Aman Verma"/>
    <n v="20"/>
    <n v="244.72"/>
    <s v="Canada"/>
    <x v="1"/>
  </r>
  <r>
    <d v="2022-06-11T00:00:00"/>
    <x v="1"/>
    <s v="Divya Mehra"/>
    <n v="4"/>
    <n v="75.989999999999995"/>
    <s v="UK"/>
    <x v="3"/>
  </r>
  <r>
    <d v="2022-03-03T00:00:00"/>
    <x v="4"/>
    <s v="Priya Singh"/>
    <n v="13"/>
    <n v="318.33"/>
    <s v="USA"/>
    <x v="1"/>
  </r>
  <r>
    <d v="2022-01-07T00:00:00"/>
    <x v="4"/>
    <s v="Sneha Iyer"/>
    <n v="10"/>
    <n v="220.07"/>
    <s v="USA"/>
    <x v="2"/>
  </r>
  <r>
    <d v="2022-01-13T00:00:00"/>
    <x v="1"/>
    <s v="Priya Singh"/>
    <n v="17"/>
    <n v="311.83"/>
    <s v="Canada"/>
    <x v="2"/>
  </r>
  <r>
    <d v="2022-01-27T00:00:00"/>
    <x v="1"/>
    <s v="Aman Verma"/>
    <n v="12"/>
    <n v="158.5"/>
    <s v="India"/>
    <x v="2"/>
  </r>
  <r>
    <d v="2022-07-07T00:00:00"/>
    <x v="0"/>
    <s v="Rajesh Patel"/>
    <n v="5"/>
    <n v="57.11"/>
    <s v="Canada"/>
    <x v="4"/>
  </r>
  <r>
    <d v="2022-02-13T00:00:00"/>
    <x v="2"/>
    <s v="Priya Singh"/>
    <n v="7"/>
    <n v="125.02"/>
    <s v="Australia"/>
    <x v="0"/>
  </r>
  <r>
    <d v="2022-04-08T00:00:00"/>
    <x v="2"/>
    <s v="Rajesh Patel"/>
    <n v="20"/>
    <n v="494.08"/>
    <s v="USA"/>
    <x v="5"/>
  </r>
  <r>
    <d v="2022-07-02T00:00:00"/>
    <x v="1"/>
    <s v="Priya Singh"/>
    <n v="17"/>
    <n v="374.2"/>
    <s v="Australia"/>
    <x v="4"/>
  </r>
  <r>
    <d v="2022-02-14T00:00:00"/>
    <x v="0"/>
    <s v="Nikhil Batra"/>
    <n v="15"/>
    <n v="312.47000000000003"/>
    <s v="Canada"/>
    <x v="0"/>
  </r>
  <r>
    <d v="2022-07-15T00:00:00"/>
    <x v="6"/>
    <s v="Ritika Shah"/>
    <n v="16"/>
    <n v="371.27"/>
    <s v="India"/>
    <x v="4"/>
  </r>
  <r>
    <d v="2022-02-08T00:00:00"/>
    <x v="3"/>
    <s v="Divya Mehra"/>
    <n v="2"/>
    <n v="49.7"/>
    <s v="UK"/>
    <x v="0"/>
  </r>
  <r>
    <d v="2022-02-16T00:00:00"/>
    <x v="4"/>
    <s v="Rajesh Patel"/>
    <n v="1"/>
    <n v="8.77"/>
    <s v="USA"/>
    <x v="0"/>
  </r>
  <r>
    <d v="2022-08-22T00:00:00"/>
    <x v="5"/>
    <s v="Sneha Iyer"/>
    <n v="7"/>
    <n v="146.37"/>
    <s v="India"/>
    <x v="7"/>
  </r>
  <r>
    <d v="2022-05-15T00:00:00"/>
    <x v="3"/>
    <s v="Ritika Shah"/>
    <n v="15"/>
    <n v="273.64999999999998"/>
    <s v="Canada"/>
    <x v="6"/>
  </r>
  <r>
    <d v="2022-07-15T00:00:00"/>
    <x v="6"/>
    <s v="Aman Verma"/>
    <n v="14"/>
    <n v="185.36"/>
    <s v="USA"/>
    <x v="4"/>
  </r>
  <r>
    <d v="2022-03-02T00:00:00"/>
    <x v="4"/>
    <s v="Sneha Iyer"/>
    <n v="17"/>
    <n v="219.07"/>
    <s v="Canada"/>
    <x v="1"/>
  </r>
  <r>
    <d v="2022-01-07T00:00:00"/>
    <x v="6"/>
    <s v="Aman Verma"/>
    <n v="12"/>
    <n v="134.44"/>
    <s v="UK"/>
    <x v="2"/>
  </r>
  <r>
    <d v="2022-02-11T00:00:00"/>
    <x v="4"/>
    <s v="Rajesh Patel"/>
    <n v="19"/>
    <n v="474.65"/>
    <s v="Australia"/>
    <x v="0"/>
  </r>
  <r>
    <d v="2022-02-05T00:00:00"/>
    <x v="4"/>
    <s v="Nikhil Batra"/>
    <n v="14"/>
    <n v="289.68"/>
    <s v="USA"/>
    <x v="0"/>
  </r>
  <r>
    <d v="2022-04-27T00:00:00"/>
    <x v="2"/>
    <s v="Aman Verma"/>
    <n v="18"/>
    <n v="401.63"/>
    <s v="Australia"/>
    <x v="5"/>
  </r>
  <r>
    <d v="2022-03-16T00:00:00"/>
    <x v="5"/>
    <s v="Aman Verma"/>
    <n v="12"/>
    <n v="123.89"/>
    <s v="USA"/>
    <x v="1"/>
  </r>
  <r>
    <d v="2022-07-17T00:00:00"/>
    <x v="2"/>
    <s v="Sneha Iyer"/>
    <n v="7"/>
    <n v="140.54"/>
    <s v="UK"/>
    <x v="4"/>
  </r>
  <r>
    <d v="2022-07-24T00:00:00"/>
    <x v="1"/>
    <s v="Priya Singh"/>
    <n v="10"/>
    <n v="209.65"/>
    <s v="USA"/>
    <x v="4"/>
  </r>
  <r>
    <d v="2022-01-18T00:00:00"/>
    <x v="4"/>
    <s v="Divya Mehra"/>
    <n v="2"/>
    <n v="33.090000000000003"/>
    <s v="UK"/>
    <x v="2"/>
  </r>
  <r>
    <d v="2022-07-24T00:00:00"/>
    <x v="6"/>
    <s v="Ritika Shah"/>
    <n v="8"/>
    <n v="157.03"/>
    <s v="India"/>
    <x v="4"/>
  </r>
  <r>
    <d v="2022-07-26T00:00:00"/>
    <x v="1"/>
    <s v="Priya Singh"/>
    <n v="1"/>
    <n v="17.670000000000002"/>
    <s v="India"/>
    <x v="4"/>
  </r>
  <r>
    <d v="2022-06-03T00:00:00"/>
    <x v="2"/>
    <s v="Priya Singh"/>
    <n v="19"/>
    <n v="341.45"/>
    <s v="UK"/>
    <x v="3"/>
  </r>
  <r>
    <d v="2022-06-05T00:00:00"/>
    <x v="3"/>
    <s v="Priya Singh"/>
    <n v="14"/>
    <n v="194.98"/>
    <s v="India"/>
    <x v="3"/>
  </r>
  <r>
    <d v="2022-08-12T00:00:00"/>
    <x v="0"/>
    <s v="Ritika Shah"/>
    <n v="8"/>
    <n v="78.790000000000006"/>
    <s v="Australia"/>
    <x v="7"/>
  </r>
  <r>
    <d v="2022-06-16T00:00:00"/>
    <x v="3"/>
    <s v="Divya Mehra"/>
    <n v="14"/>
    <n v="131.03"/>
    <s v="India"/>
    <x v="3"/>
  </r>
  <r>
    <d v="2022-01-27T00:00:00"/>
    <x v="5"/>
    <s v="Aman Verma"/>
    <n v="2"/>
    <n v="33.67"/>
    <s v="Canada"/>
    <x v="2"/>
  </r>
  <r>
    <d v="2022-06-04T00:00:00"/>
    <x v="2"/>
    <s v="Priya Singh"/>
    <n v="5"/>
    <n v="41.09"/>
    <s v="Australia"/>
    <x v="3"/>
  </r>
  <r>
    <d v="2022-06-23T00:00:00"/>
    <x v="0"/>
    <s v="Ritika Shah"/>
    <n v="1"/>
    <n v="17.39"/>
    <s v="Canada"/>
    <x v="3"/>
  </r>
  <r>
    <d v="2022-07-14T00:00:00"/>
    <x v="1"/>
    <s v="Rajesh Patel"/>
    <n v="18"/>
    <n v="364.2"/>
    <s v="India"/>
    <x v="4"/>
  </r>
  <r>
    <d v="2022-01-22T00:00:00"/>
    <x v="3"/>
    <s v="Divya Mehra"/>
    <n v="6"/>
    <n v="68.209999999999994"/>
    <s v="UK"/>
    <x v="2"/>
  </r>
  <r>
    <d v="2022-07-22T00:00:00"/>
    <x v="3"/>
    <s v="Sneha Iyer"/>
    <n v="20"/>
    <n v="479.93"/>
    <s v="Canada"/>
    <x v="4"/>
  </r>
  <r>
    <d v="2022-05-16T00:00:00"/>
    <x v="6"/>
    <s v="Priya Singh"/>
    <n v="6"/>
    <n v="136.59"/>
    <s v="UK"/>
    <x v="6"/>
  </r>
  <r>
    <d v="2022-08-26T00:00:00"/>
    <x v="4"/>
    <s v="Rajesh Patel"/>
    <n v="2"/>
    <n v="45.31"/>
    <s v="USA"/>
    <x v="7"/>
  </r>
  <r>
    <d v="2022-03-09T00:00:00"/>
    <x v="1"/>
    <s v="Rajesh Patel"/>
    <n v="11"/>
    <n v="246.17"/>
    <s v="Canada"/>
    <x v="1"/>
  </r>
  <r>
    <d v="2022-01-13T00:00:00"/>
    <x v="3"/>
    <s v="Ritika Shah"/>
    <n v="15"/>
    <n v="362.44"/>
    <s v="Canada"/>
    <x v="2"/>
  </r>
  <r>
    <d v="2022-02-28T00:00:00"/>
    <x v="3"/>
    <s v="Divya Mehra"/>
    <n v="7"/>
    <n v="133.38"/>
    <s v="UK"/>
    <x v="0"/>
  </r>
  <r>
    <d v="2022-04-27T00:00:00"/>
    <x v="4"/>
    <s v="Aman Verma"/>
    <n v="1"/>
    <n v="16.87"/>
    <s v="Canada"/>
    <x v="5"/>
  </r>
  <r>
    <d v="2022-02-03T00:00:00"/>
    <x v="5"/>
    <s v="Divya Mehra"/>
    <n v="15"/>
    <n v="191.54"/>
    <s v="Canada"/>
    <x v="0"/>
  </r>
  <r>
    <d v="2022-02-21T00:00:00"/>
    <x v="1"/>
    <s v="Nikhil Batra"/>
    <n v="2"/>
    <n v="26.91"/>
    <s v="India"/>
    <x v="0"/>
  </r>
  <r>
    <d v="2022-08-04T00:00:00"/>
    <x v="3"/>
    <s v="Priya Singh"/>
    <n v="3"/>
    <n v="59.95"/>
    <s v="UK"/>
    <x v="7"/>
  </r>
  <r>
    <d v="2022-04-27T00:00:00"/>
    <x v="4"/>
    <s v="Nikhil Batra"/>
    <n v="14"/>
    <n v="183.32"/>
    <s v="India"/>
    <x v="5"/>
  </r>
  <r>
    <d v="2022-02-13T00:00:00"/>
    <x v="5"/>
    <s v="Sneha Iyer"/>
    <n v="15"/>
    <n v="321.39999999999998"/>
    <s v="UK"/>
    <x v="0"/>
  </r>
  <r>
    <d v="2022-03-23T00:00:00"/>
    <x v="4"/>
    <s v="Rajesh Patel"/>
    <n v="2"/>
    <n v="31.15"/>
    <s v="USA"/>
    <x v="1"/>
  </r>
  <r>
    <d v="2022-05-06T00:00:00"/>
    <x v="5"/>
    <s v="Rajesh Patel"/>
    <n v="8"/>
    <n v="89.9"/>
    <s v="India"/>
    <x v="6"/>
  </r>
  <r>
    <d v="2022-04-25T00:00:00"/>
    <x v="1"/>
    <s v="Sneha Iyer"/>
    <n v="5"/>
    <n v="64.41"/>
    <s v="USA"/>
    <x v="5"/>
  </r>
  <r>
    <d v="2022-03-28T00:00:00"/>
    <x v="1"/>
    <s v="Divya Mehra"/>
    <n v="20"/>
    <n v="186.45"/>
    <s v="Australia"/>
    <x v="1"/>
  </r>
  <r>
    <d v="2022-08-17T00:00:00"/>
    <x v="5"/>
    <s v="Rajesh Patel"/>
    <n v="19"/>
    <n v="468.28"/>
    <s v="Australia"/>
    <x v="7"/>
  </r>
  <r>
    <d v="2022-08-29T00:00:00"/>
    <x v="0"/>
    <s v="Nikhil Batra"/>
    <n v="9"/>
    <n v="188.06"/>
    <s v="USA"/>
    <x v="7"/>
  </r>
  <r>
    <d v="2022-06-03T00:00:00"/>
    <x v="1"/>
    <s v="Divya Mehra"/>
    <n v="4"/>
    <n v="48.71"/>
    <s v="Canada"/>
    <x v="3"/>
  </r>
  <r>
    <d v="2022-04-12T00:00:00"/>
    <x v="4"/>
    <s v="Sneha Iyer"/>
    <n v="18"/>
    <n v="161.49"/>
    <s v="Australia"/>
    <x v="5"/>
  </r>
  <r>
    <d v="2022-02-16T00:00:00"/>
    <x v="1"/>
    <s v="Nikhil Batra"/>
    <n v="5"/>
    <n v="120.28"/>
    <s v="USA"/>
    <x v="0"/>
  </r>
  <r>
    <d v="2022-01-07T00:00:00"/>
    <x v="1"/>
    <s v="Sneha Iyer"/>
    <n v="8"/>
    <n v="149.88999999999999"/>
    <s v="Canada"/>
    <x v="2"/>
  </r>
  <r>
    <d v="2022-08-06T00:00:00"/>
    <x v="5"/>
    <s v="Rajesh Patel"/>
    <n v="9"/>
    <n v="128.33000000000001"/>
    <s v="Australia"/>
    <x v="7"/>
  </r>
  <r>
    <d v="2022-07-23T00:00:00"/>
    <x v="1"/>
    <s v="Nikhil Batra"/>
    <n v="4"/>
    <n v="73.27"/>
    <s v="USA"/>
    <x v="4"/>
  </r>
  <r>
    <d v="2022-08-01T00:00:00"/>
    <x v="3"/>
    <s v="Priya Singh"/>
    <n v="5"/>
    <n v="103.86"/>
    <s v="India"/>
    <x v="7"/>
  </r>
  <r>
    <d v="2022-02-08T00:00:00"/>
    <x v="3"/>
    <s v="Sneha Iyer"/>
    <n v="15"/>
    <n v="302.45999999999998"/>
    <s v="UK"/>
    <x v="0"/>
  </r>
  <r>
    <d v="2022-08-28T00:00:00"/>
    <x v="6"/>
    <s v="Aman Verma"/>
    <n v="3"/>
    <n v="52.5"/>
    <s v="India"/>
    <x v="7"/>
  </r>
  <r>
    <d v="2022-04-17T00:00:00"/>
    <x v="5"/>
    <s v="Divya Mehra"/>
    <n v="5"/>
    <n v="65.67"/>
    <s v="UK"/>
    <x v="5"/>
  </r>
  <r>
    <d v="2022-01-05T00:00:00"/>
    <x v="4"/>
    <s v="Aman Verma"/>
    <n v="17"/>
    <n v="247.43"/>
    <s v="USA"/>
    <x v="2"/>
  </r>
  <r>
    <d v="2022-08-11T00:00:00"/>
    <x v="3"/>
    <s v="Rajesh Patel"/>
    <n v="3"/>
    <n v="65.98"/>
    <s v="UK"/>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d v="2022-02-06T00:00:00"/>
    <x v="0"/>
    <x v="0"/>
    <x v="0"/>
    <n v="67.430000000000007"/>
    <x v="0"/>
    <x v="0"/>
    <x v="0"/>
  </r>
  <r>
    <d v="2022-02-05T00:00:00"/>
    <x v="1"/>
    <x v="1"/>
    <x v="1"/>
    <n v="421.46"/>
    <x v="1"/>
    <x v="0"/>
    <x v="1"/>
  </r>
  <r>
    <d v="2022-02-19T00:00:00"/>
    <x v="2"/>
    <x v="2"/>
    <x v="2"/>
    <n v="48.25"/>
    <x v="2"/>
    <x v="0"/>
    <x v="1"/>
  </r>
  <r>
    <d v="2022-03-28T00:00:00"/>
    <x v="0"/>
    <x v="1"/>
    <x v="3"/>
    <n v="59.89"/>
    <x v="2"/>
    <x v="1"/>
    <x v="2"/>
  </r>
  <r>
    <d v="2022-01-17T00:00:00"/>
    <x v="3"/>
    <x v="2"/>
    <x v="4"/>
    <n v="147.72999999999999"/>
    <x v="3"/>
    <x v="2"/>
    <x v="2"/>
  </r>
  <r>
    <d v="2022-02-09T00:00:00"/>
    <x v="3"/>
    <x v="2"/>
    <x v="1"/>
    <n v="400.87"/>
    <x v="3"/>
    <x v="0"/>
    <x v="3"/>
  </r>
  <r>
    <d v="2022-06-30T00:00:00"/>
    <x v="1"/>
    <x v="1"/>
    <x v="5"/>
    <n v="50.35"/>
    <x v="0"/>
    <x v="3"/>
    <x v="4"/>
  </r>
  <r>
    <d v="2022-07-25T00:00:00"/>
    <x v="4"/>
    <x v="2"/>
    <x v="6"/>
    <n v="282.43"/>
    <x v="3"/>
    <x v="4"/>
    <x v="2"/>
  </r>
  <r>
    <d v="2022-03-20T00:00:00"/>
    <x v="5"/>
    <x v="3"/>
    <x v="7"/>
    <n v="394.01"/>
    <x v="2"/>
    <x v="1"/>
    <x v="0"/>
  </r>
  <r>
    <d v="2022-01-24T00:00:00"/>
    <x v="1"/>
    <x v="4"/>
    <x v="0"/>
    <n v="89.29"/>
    <x v="0"/>
    <x v="2"/>
    <x v="2"/>
  </r>
  <r>
    <d v="2022-04-27T00:00:00"/>
    <x v="2"/>
    <x v="0"/>
    <x v="8"/>
    <n v="150.72999999999999"/>
    <x v="1"/>
    <x v="5"/>
    <x v="3"/>
  </r>
  <r>
    <d v="2022-02-18T00:00:00"/>
    <x v="0"/>
    <x v="2"/>
    <x v="3"/>
    <n v="63.41"/>
    <x v="3"/>
    <x v="0"/>
    <x v="5"/>
  </r>
  <r>
    <d v="2022-06-26T00:00:00"/>
    <x v="0"/>
    <x v="0"/>
    <x v="1"/>
    <n v="175.89"/>
    <x v="3"/>
    <x v="3"/>
    <x v="0"/>
  </r>
  <r>
    <d v="2022-06-19T00:00:00"/>
    <x v="5"/>
    <x v="3"/>
    <x v="1"/>
    <n v="296.97000000000003"/>
    <x v="0"/>
    <x v="3"/>
    <x v="0"/>
  </r>
  <r>
    <d v="2022-06-03T00:00:00"/>
    <x v="2"/>
    <x v="2"/>
    <x v="9"/>
    <n v="177.75"/>
    <x v="3"/>
    <x v="3"/>
    <x v="5"/>
  </r>
  <r>
    <d v="2022-04-05T00:00:00"/>
    <x v="2"/>
    <x v="1"/>
    <x v="10"/>
    <n v="285.08999999999997"/>
    <x v="1"/>
    <x v="5"/>
    <x v="6"/>
  </r>
  <r>
    <d v="2022-04-17T00:00:00"/>
    <x v="0"/>
    <x v="2"/>
    <x v="9"/>
    <n v="277.22000000000003"/>
    <x v="0"/>
    <x v="5"/>
    <x v="0"/>
  </r>
  <r>
    <d v="2022-02-11T00:00:00"/>
    <x v="5"/>
    <x v="3"/>
    <x v="7"/>
    <n v="175.18"/>
    <x v="1"/>
    <x v="0"/>
    <x v="5"/>
  </r>
  <r>
    <d v="2022-01-18T00:00:00"/>
    <x v="1"/>
    <x v="2"/>
    <x v="9"/>
    <n v="192.16"/>
    <x v="0"/>
    <x v="2"/>
    <x v="6"/>
  </r>
  <r>
    <d v="2022-05-30T00:00:00"/>
    <x v="6"/>
    <x v="1"/>
    <x v="11"/>
    <n v="123.12"/>
    <x v="4"/>
    <x v="6"/>
    <x v="2"/>
  </r>
  <r>
    <d v="2022-06-18T00:00:00"/>
    <x v="0"/>
    <x v="0"/>
    <x v="12"/>
    <n v="238.86"/>
    <x v="0"/>
    <x v="3"/>
    <x v="1"/>
  </r>
  <r>
    <d v="2022-07-06T00:00:00"/>
    <x v="4"/>
    <x v="4"/>
    <x v="13"/>
    <n v="272.37"/>
    <x v="2"/>
    <x v="4"/>
    <x v="3"/>
  </r>
  <r>
    <d v="2022-05-25T00:00:00"/>
    <x v="6"/>
    <x v="5"/>
    <x v="4"/>
    <n v="82.86"/>
    <x v="3"/>
    <x v="6"/>
    <x v="3"/>
  </r>
  <r>
    <d v="2022-04-26T00:00:00"/>
    <x v="4"/>
    <x v="6"/>
    <x v="14"/>
    <n v="447.21"/>
    <x v="4"/>
    <x v="5"/>
    <x v="6"/>
  </r>
  <r>
    <d v="2022-06-26T00:00:00"/>
    <x v="4"/>
    <x v="3"/>
    <x v="15"/>
    <n v="9.98"/>
    <x v="1"/>
    <x v="3"/>
    <x v="0"/>
  </r>
  <r>
    <d v="2022-07-01T00:00:00"/>
    <x v="0"/>
    <x v="5"/>
    <x v="3"/>
    <n v="101.4"/>
    <x v="4"/>
    <x v="4"/>
    <x v="5"/>
  </r>
  <r>
    <d v="2022-08-28T00:00:00"/>
    <x v="3"/>
    <x v="4"/>
    <x v="6"/>
    <n v="206.79"/>
    <x v="4"/>
    <x v="7"/>
    <x v="0"/>
  </r>
  <r>
    <d v="2022-07-08T00:00:00"/>
    <x v="6"/>
    <x v="6"/>
    <x v="8"/>
    <n v="153.08000000000001"/>
    <x v="2"/>
    <x v="4"/>
    <x v="5"/>
  </r>
  <r>
    <d v="2022-02-03T00:00:00"/>
    <x v="3"/>
    <x v="6"/>
    <x v="1"/>
    <n v="411.44"/>
    <x v="3"/>
    <x v="0"/>
    <x v="4"/>
  </r>
  <r>
    <d v="2022-03-17T00:00:00"/>
    <x v="6"/>
    <x v="5"/>
    <x v="3"/>
    <n v="46.92"/>
    <x v="1"/>
    <x v="1"/>
    <x v="4"/>
  </r>
  <r>
    <d v="2022-06-25T00:00:00"/>
    <x v="2"/>
    <x v="0"/>
    <x v="5"/>
    <n v="42.85"/>
    <x v="2"/>
    <x v="3"/>
    <x v="1"/>
  </r>
  <r>
    <d v="2022-06-11T00:00:00"/>
    <x v="4"/>
    <x v="3"/>
    <x v="2"/>
    <n v="40.17"/>
    <x v="2"/>
    <x v="3"/>
    <x v="1"/>
  </r>
  <r>
    <d v="2022-03-29T00:00:00"/>
    <x v="1"/>
    <x v="5"/>
    <x v="6"/>
    <n v="243.79"/>
    <x v="1"/>
    <x v="1"/>
    <x v="6"/>
  </r>
  <r>
    <d v="2022-03-26T00:00:00"/>
    <x v="1"/>
    <x v="3"/>
    <x v="2"/>
    <n v="44.86"/>
    <x v="2"/>
    <x v="1"/>
    <x v="1"/>
  </r>
  <r>
    <d v="2022-07-15T00:00:00"/>
    <x v="3"/>
    <x v="1"/>
    <x v="14"/>
    <n v="288.39999999999998"/>
    <x v="2"/>
    <x v="4"/>
    <x v="5"/>
  </r>
  <r>
    <d v="2022-07-16T00:00:00"/>
    <x v="2"/>
    <x v="6"/>
    <x v="11"/>
    <n v="137.02000000000001"/>
    <x v="4"/>
    <x v="4"/>
    <x v="1"/>
  </r>
  <r>
    <d v="2022-05-03T00:00:00"/>
    <x v="1"/>
    <x v="3"/>
    <x v="8"/>
    <n v="228.69"/>
    <x v="4"/>
    <x v="6"/>
    <x v="6"/>
  </r>
  <r>
    <d v="2022-06-17T00:00:00"/>
    <x v="3"/>
    <x v="5"/>
    <x v="10"/>
    <n v="287.52999999999997"/>
    <x v="3"/>
    <x v="3"/>
    <x v="5"/>
  </r>
  <r>
    <d v="2022-04-13T00:00:00"/>
    <x v="3"/>
    <x v="5"/>
    <x v="10"/>
    <n v="294.16000000000003"/>
    <x v="0"/>
    <x v="5"/>
    <x v="3"/>
  </r>
  <r>
    <d v="2022-07-05T00:00:00"/>
    <x v="1"/>
    <x v="1"/>
    <x v="14"/>
    <n v="217.38"/>
    <x v="4"/>
    <x v="4"/>
    <x v="6"/>
  </r>
  <r>
    <d v="2022-08-06T00:00:00"/>
    <x v="2"/>
    <x v="0"/>
    <x v="6"/>
    <n v="232.97"/>
    <x v="1"/>
    <x v="7"/>
    <x v="1"/>
  </r>
  <r>
    <d v="2022-05-25T00:00:00"/>
    <x v="1"/>
    <x v="2"/>
    <x v="5"/>
    <n v="34.74"/>
    <x v="2"/>
    <x v="6"/>
    <x v="3"/>
  </r>
  <r>
    <d v="2022-04-20T00:00:00"/>
    <x v="6"/>
    <x v="0"/>
    <x v="0"/>
    <n v="152.22999999999999"/>
    <x v="3"/>
    <x v="5"/>
    <x v="3"/>
  </r>
  <r>
    <d v="2022-05-15T00:00:00"/>
    <x v="5"/>
    <x v="6"/>
    <x v="8"/>
    <n v="197.71"/>
    <x v="2"/>
    <x v="6"/>
    <x v="0"/>
  </r>
  <r>
    <d v="2022-01-07T00:00:00"/>
    <x v="6"/>
    <x v="0"/>
    <x v="16"/>
    <n v="161.56"/>
    <x v="3"/>
    <x v="2"/>
    <x v="5"/>
  </r>
  <r>
    <d v="2022-05-29T00:00:00"/>
    <x v="1"/>
    <x v="3"/>
    <x v="17"/>
    <n v="339.11"/>
    <x v="2"/>
    <x v="6"/>
    <x v="0"/>
  </r>
  <r>
    <d v="2022-03-10T00:00:00"/>
    <x v="1"/>
    <x v="4"/>
    <x v="15"/>
    <n v="11.64"/>
    <x v="2"/>
    <x v="1"/>
    <x v="4"/>
  </r>
  <r>
    <d v="2022-05-09T00:00:00"/>
    <x v="1"/>
    <x v="3"/>
    <x v="5"/>
    <n v="36.54"/>
    <x v="0"/>
    <x v="6"/>
    <x v="2"/>
  </r>
  <r>
    <d v="2022-07-11T00:00:00"/>
    <x v="2"/>
    <x v="4"/>
    <x v="17"/>
    <n v="163.57"/>
    <x v="3"/>
    <x v="4"/>
    <x v="2"/>
  </r>
  <r>
    <d v="2022-04-11T00:00:00"/>
    <x v="2"/>
    <x v="3"/>
    <x v="8"/>
    <n v="221.08"/>
    <x v="4"/>
    <x v="5"/>
    <x v="2"/>
  </r>
  <r>
    <d v="2022-01-02T00:00:00"/>
    <x v="3"/>
    <x v="1"/>
    <x v="10"/>
    <n v="201.96"/>
    <x v="3"/>
    <x v="2"/>
    <x v="0"/>
  </r>
  <r>
    <d v="2022-06-22T00:00:00"/>
    <x v="2"/>
    <x v="5"/>
    <x v="0"/>
    <n v="134.24"/>
    <x v="2"/>
    <x v="3"/>
    <x v="3"/>
  </r>
  <r>
    <d v="2022-08-10T00:00:00"/>
    <x v="6"/>
    <x v="4"/>
    <x v="4"/>
    <n v="85.5"/>
    <x v="1"/>
    <x v="7"/>
    <x v="3"/>
  </r>
  <r>
    <d v="2022-01-02T00:00:00"/>
    <x v="0"/>
    <x v="6"/>
    <x v="5"/>
    <n v="42.45"/>
    <x v="4"/>
    <x v="2"/>
    <x v="0"/>
  </r>
  <r>
    <d v="2022-07-03T00:00:00"/>
    <x v="5"/>
    <x v="6"/>
    <x v="18"/>
    <n v="43.61"/>
    <x v="2"/>
    <x v="4"/>
    <x v="0"/>
  </r>
  <r>
    <d v="2022-03-21T00:00:00"/>
    <x v="3"/>
    <x v="5"/>
    <x v="0"/>
    <n v="134.53"/>
    <x v="2"/>
    <x v="1"/>
    <x v="2"/>
  </r>
  <r>
    <d v="2022-04-16T00:00:00"/>
    <x v="0"/>
    <x v="0"/>
    <x v="0"/>
    <n v="141.33000000000001"/>
    <x v="3"/>
    <x v="5"/>
    <x v="1"/>
  </r>
  <r>
    <d v="2022-08-26T00:00:00"/>
    <x v="2"/>
    <x v="1"/>
    <x v="1"/>
    <n v="336.53"/>
    <x v="2"/>
    <x v="7"/>
    <x v="5"/>
  </r>
  <r>
    <d v="2022-04-22T00:00:00"/>
    <x v="5"/>
    <x v="5"/>
    <x v="13"/>
    <n v="470.78"/>
    <x v="0"/>
    <x v="5"/>
    <x v="5"/>
  </r>
  <r>
    <d v="2022-03-17T00:00:00"/>
    <x v="5"/>
    <x v="6"/>
    <x v="10"/>
    <n v="163.03"/>
    <x v="2"/>
    <x v="1"/>
    <x v="4"/>
  </r>
  <r>
    <d v="2022-06-28T00:00:00"/>
    <x v="2"/>
    <x v="5"/>
    <x v="0"/>
    <n v="88.38"/>
    <x v="4"/>
    <x v="3"/>
    <x v="6"/>
  </r>
  <r>
    <d v="2022-06-15T00:00:00"/>
    <x v="4"/>
    <x v="1"/>
    <x v="8"/>
    <n v="127.82"/>
    <x v="3"/>
    <x v="3"/>
    <x v="3"/>
  </r>
  <r>
    <d v="2022-04-30T00:00:00"/>
    <x v="4"/>
    <x v="3"/>
    <x v="2"/>
    <n v="30.78"/>
    <x v="1"/>
    <x v="5"/>
    <x v="1"/>
  </r>
  <r>
    <d v="2022-01-15T00:00:00"/>
    <x v="5"/>
    <x v="6"/>
    <x v="8"/>
    <n v="211.91"/>
    <x v="3"/>
    <x v="2"/>
    <x v="1"/>
  </r>
  <r>
    <d v="2022-08-05T00:00:00"/>
    <x v="2"/>
    <x v="1"/>
    <x v="2"/>
    <n v="34.090000000000003"/>
    <x v="3"/>
    <x v="7"/>
    <x v="5"/>
  </r>
  <r>
    <d v="2022-07-16T00:00:00"/>
    <x v="5"/>
    <x v="2"/>
    <x v="11"/>
    <n v="158.69"/>
    <x v="4"/>
    <x v="4"/>
    <x v="1"/>
  </r>
  <r>
    <d v="2022-05-23T00:00:00"/>
    <x v="5"/>
    <x v="1"/>
    <x v="12"/>
    <n v="355.23"/>
    <x v="1"/>
    <x v="6"/>
    <x v="2"/>
  </r>
  <r>
    <d v="2022-04-19T00:00:00"/>
    <x v="1"/>
    <x v="2"/>
    <x v="11"/>
    <n v="202.58"/>
    <x v="1"/>
    <x v="5"/>
    <x v="6"/>
  </r>
  <r>
    <d v="2022-08-05T00:00:00"/>
    <x v="6"/>
    <x v="1"/>
    <x v="16"/>
    <n v="245.9"/>
    <x v="3"/>
    <x v="7"/>
    <x v="5"/>
  </r>
  <r>
    <d v="2022-08-31T00:00:00"/>
    <x v="5"/>
    <x v="2"/>
    <x v="9"/>
    <n v="270.74"/>
    <x v="0"/>
    <x v="7"/>
    <x v="3"/>
  </r>
  <r>
    <d v="2022-08-23T00:00:00"/>
    <x v="4"/>
    <x v="2"/>
    <x v="3"/>
    <n v="88.84"/>
    <x v="4"/>
    <x v="7"/>
    <x v="6"/>
  </r>
  <r>
    <d v="2022-03-07T00:00:00"/>
    <x v="2"/>
    <x v="5"/>
    <x v="13"/>
    <n v="433.81"/>
    <x v="3"/>
    <x v="1"/>
    <x v="2"/>
  </r>
  <r>
    <d v="2022-07-25T00:00:00"/>
    <x v="1"/>
    <x v="0"/>
    <x v="2"/>
    <n v="29.63"/>
    <x v="0"/>
    <x v="4"/>
    <x v="2"/>
  </r>
  <r>
    <d v="2022-02-09T00:00:00"/>
    <x v="4"/>
    <x v="5"/>
    <x v="12"/>
    <n v="334.05"/>
    <x v="1"/>
    <x v="0"/>
    <x v="3"/>
  </r>
  <r>
    <d v="2022-02-28T00:00:00"/>
    <x v="5"/>
    <x v="2"/>
    <x v="18"/>
    <n v="52.1"/>
    <x v="4"/>
    <x v="0"/>
    <x v="2"/>
  </r>
  <r>
    <d v="2022-05-23T00:00:00"/>
    <x v="1"/>
    <x v="2"/>
    <x v="19"/>
    <n v="51.97"/>
    <x v="2"/>
    <x v="6"/>
    <x v="2"/>
  </r>
  <r>
    <d v="2022-07-31T00:00:00"/>
    <x v="1"/>
    <x v="3"/>
    <x v="10"/>
    <n v="324.2"/>
    <x v="3"/>
    <x v="4"/>
    <x v="0"/>
  </r>
  <r>
    <d v="2022-05-26T00:00:00"/>
    <x v="5"/>
    <x v="6"/>
    <x v="11"/>
    <n v="155.31"/>
    <x v="2"/>
    <x v="6"/>
    <x v="4"/>
  </r>
  <r>
    <d v="2022-02-25T00:00:00"/>
    <x v="5"/>
    <x v="3"/>
    <x v="6"/>
    <n v="205.85"/>
    <x v="2"/>
    <x v="0"/>
    <x v="5"/>
  </r>
  <r>
    <d v="2022-04-05T00:00:00"/>
    <x v="0"/>
    <x v="0"/>
    <x v="18"/>
    <n v="64.28"/>
    <x v="2"/>
    <x v="5"/>
    <x v="6"/>
  </r>
  <r>
    <d v="2022-06-21T00:00:00"/>
    <x v="6"/>
    <x v="3"/>
    <x v="15"/>
    <n v="8.09"/>
    <x v="4"/>
    <x v="3"/>
    <x v="6"/>
  </r>
  <r>
    <d v="2022-08-02T00:00:00"/>
    <x v="3"/>
    <x v="2"/>
    <x v="16"/>
    <n v="213.75"/>
    <x v="1"/>
    <x v="7"/>
    <x v="6"/>
  </r>
  <r>
    <d v="2022-04-20T00:00:00"/>
    <x v="0"/>
    <x v="5"/>
    <x v="1"/>
    <n v="244.76"/>
    <x v="4"/>
    <x v="5"/>
    <x v="3"/>
  </r>
  <r>
    <d v="2022-04-27T00:00:00"/>
    <x v="1"/>
    <x v="1"/>
    <x v="14"/>
    <n v="316.79000000000002"/>
    <x v="4"/>
    <x v="5"/>
    <x v="3"/>
  </r>
  <r>
    <d v="2022-06-30T00:00:00"/>
    <x v="6"/>
    <x v="1"/>
    <x v="13"/>
    <n v="219.72"/>
    <x v="3"/>
    <x v="3"/>
    <x v="4"/>
  </r>
  <r>
    <d v="2022-03-07T00:00:00"/>
    <x v="3"/>
    <x v="2"/>
    <x v="1"/>
    <n v="371.23"/>
    <x v="4"/>
    <x v="1"/>
    <x v="2"/>
  </r>
  <r>
    <d v="2022-05-21T00:00:00"/>
    <x v="3"/>
    <x v="3"/>
    <x v="9"/>
    <n v="242.44"/>
    <x v="3"/>
    <x v="6"/>
    <x v="1"/>
  </r>
  <r>
    <d v="2022-07-03T00:00:00"/>
    <x v="2"/>
    <x v="3"/>
    <x v="1"/>
    <n v="214.09"/>
    <x v="2"/>
    <x v="4"/>
    <x v="0"/>
  </r>
  <r>
    <d v="2022-03-13T00:00:00"/>
    <x v="1"/>
    <x v="6"/>
    <x v="13"/>
    <n v="183.48"/>
    <x v="4"/>
    <x v="1"/>
    <x v="0"/>
  </r>
  <r>
    <d v="2022-06-10T00:00:00"/>
    <x v="0"/>
    <x v="5"/>
    <x v="8"/>
    <n v="272.97000000000003"/>
    <x v="0"/>
    <x v="3"/>
    <x v="5"/>
  </r>
  <r>
    <d v="2022-02-05T00:00:00"/>
    <x v="2"/>
    <x v="2"/>
    <x v="6"/>
    <n v="129.30000000000001"/>
    <x v="2"/>
    <x v="0"/>
    <x v="1"/>
  </r>
  <r>
    <d v="2022-05-23T00:00:00"/>
    <x v="3"/>
    <x v="2"/>
    <x v="3"/>
    <n v="59.7"/>
    <x v="2"/>
    <x v="6"/>
    <x v="2"/>
  </r>
  <r>
    <d v="2022-08-11T00:00:00"/>
    <x v="2"/>
    <x v="3"/>
    <x v="13"/>
    <n v="210.82"/>
    <x v="2"/>
    <x v="7"/>
    <x v="4"/>
  </r>
  <r>
    <d v="2022-03-13T00:00:00"/>
    <x v="0"/>
    <x v="0"/>
    <x v="19"/>
    <n v="115.79"/>
    <x v="1"/>
    <x v="1"/>
    <x v="0"/>
  </r>
  <r>
    <d v="2022-06-06T00:00:00"/>
    <x v="1"/>
    <x v="5"/>
    <x v="1"/>
    <n v="322.41000000000003"/>
    <x v="2"/>
    <x v="3"/>
    <x v="2"/>
  </r>
  <r>
    <d v="2022-07-20T00:00:00"/>
    <x v="1"/>
    <x v="0"/>
    <x v="18"/>
    <n v="73.39"/>
    <x v="2"/>
    <x v="4"/>
    <x v="3"/>
  </r>
  <r>
    <d v="2022-06-06T00:00:00"/>
    <x v="5"/>
    <x v="1"/>
    <x v="18"/>
    <n v="50.12"/>
    <x v="3"/>
    <x v="3"/>
    <x v="2"/>
  </r>
  <r>
    <d v="2022-02-27T00:00:00"/>
    <x v="6"/>
    <x v="6"/>
    <x v="5"/>
    <n v="45.16"/>
    <x v="2"/>
    <x v="0"/>
    <x v="0"/>
  </r>
  <r>
    <d v="2022-08-28T00:00:00"/>
    <x v="3"/>
    <x v="0"/>
    <x v="17"/>
    <n v="212.81"/>
    <x v="1"/>
    <x v="7"/>
    <x v="0"/>
  </r>
  <r>
    <d v="2022-05-12T00:00:00"/>
    <x v="6"/>
    <x v="3"/>
    <x v="14"/>
    <n v="192.59"/>
    <x v="3"/>
    <x v="6"/>
    <x v="4"/>
  </r>
  <r>
    <d v="2022-06-03T00:00:00"/>
    <x v="6"/>
    <x v="1"/>
    <x v="2"/>
    <n v="36.56"/>
    <x v="3"/>
    <x v="3"/>
    <x v="5"/>
  </r>
  <r>
    <d v="2022-03-11T00:00:00"/>
    <x v="2"/>
    <x v="3"/>
    <x v="12"/>
    <n v="244.66"/>
    <x v="1"/>
    <x v="1"/>
    <x v="5"/>
  </r>
  <r>
    <d v="2022-05-28T00:00:00"/>
    <x v="3"/>
    <x v="4"/>
    <x v="7"/>
    <n v="281.12"/>
    <x v="2"/>
    <x v="6"/>
    <x v="1"/>
  </r>
  <r>
    <d v="2022-01-10T00:00:00"/>
    <x v="5"/>
    <x v="6"/>
    <x v="14"/>
    <n v="161.94999999999999"/>
    <x v="2"/>
    <x v="2"/>
    <x v="2"/>
  </r>
  <r>
    <d v="2022-01-21T00:00:00"/>
    <x v="0"/>
    <x v="2"/>
    <x v="11"/>
    <n v="180.5"/>
    <x v="1"/>
    <x v="2"/>
    <x v="5"/>
  </r>
  <r>
    <d v="2022-05-20T00:00:00"/>
    <x v="4"/>
    <x v="1"/>
    <x v="1"/>
    <n v="426.02"/>
    <x v="2"/>
    <x v="6"/>
    <x v="5"/>
  </r>
  <r>
    <d v="2022-07-09T00:00:00"/>
    <x v="6"/>
    <x v="3"/>
    <x v="16"/>
    <n v="101.77"/>
    <x v="3"/>
    <x v="4"/>
    <x v="1"/>
  </r>
  <r>
    <d v="2022-06-19T00:00:00"/>
    <x v="4"/>
    <x v="3"/>
    <x v="9"/>
    <n v="132.47999999999999"/>
    <x v="1"/>
    <x v="3"/>
    <x v="0"/>
  </r>
  <r>
    <d v="2022-05-31T00:00:00"/>
    <x v="4"/>
    <x v="0"/>
    <x v="11"/>
    <n v="82.8"/>
    <x v="0"/>
    <x v="6"/>
    <x v="6"/>
  </r>
  <r>
    <d v="2022-05-23T00:00:00"/>
    <x v="4"/>
    <x v="3"/>
    <x v="15"/>
    <n v="8.51"/>
    <x v="1"/>
    <x v="6"/>
    <x v="2"/>
  </r>
  <r>
    <d v="2022-01-07T00:00:00"/>
    <x v="3"/>
    <x v="3"/>
    <x v="8"/>
    <n v="90.19"/>
    <x v="3"/>
    <x v="2"/>
    <x v="5"/>
  </r>
  <r>
    <d v="2022-07-31T00:00:00"/>
    <x v="5"/>
    <x v="2"/>
    <x v="19"/>
    <n v="60.03"/>
    <x v="2"/>
    <x v="4"/>
    <x v="0"/>
  </r>
  <r>
    <d v="2022-05-24T00:00:00"/>
    <x v="5"/>
    <x v="4"/>
    <x v="4"/>
    <n v="142.54"/>
    <x v="4"/>
    <x v="6"/>
    <x v="6"/>
  </r>
  <r>
    <d v="2022-04-23T00:00:00"/>
    <x v="6"/>
    <x v="1"/>
    <x v="18"/>
    <n v="96.7"/>
    <x v="4"/>
    <x v="5"/>
    <x v="1"/>
  </r>
  <r>
    <d v="2022-03-18T00:00:00"/>
    <x v="6"/>
    <x v="2"/>
    <x v="12"/>
    <n v="151.63999999999999"/>
    <x v="0"/>
    <x v="1"/>
    <x v="5"/>
  </r>
  <r>
    <d v="2022-08-25T00:00:00"/>
    <x v="1"/>
    <x v="0"/>
    <x v="12"/>
    <n v="197.97"/>
    <x v="1"/>
    <x v="7"/>
    <x v="4"/>
  </r>
  <r>
    <d v="2022-03-04T00:00:00"/>
    <x v="6"/>
    <x v="0"/>
    <x v="11"/>
    <n v="182.35"/>
    <x v="4"/>
    <x v="1"/>
    <x v="5"/>
  </r>
  <r>
    <d v="2022-03-24T00:00:00"/>
    <x v="3"/>
    <x v="0"/>
    <x v="14"/>
    <n v="443.56"/>
    <x v="1"/>
    <x v="1"/>
    <x v="4"/>
  </r>
  <r>
    <d v="2022-03-27T00:00:00"/>
    <x v="1"/>
    <x v="5"/>
    <x v="11"/>
    <n v="89.01"/>
    <x v="1"/>
    <x v="1"/>
    <x v="0"/>
  </r>
  <r>
    <d v="2022-05-18T00:00:00"/>
    <x v="5"/>
    <x v="6"/>
    <x v="15"/>
    <n v="10.32"/>
    <x v="3"/>
    <x v="6"/>
    <x v="3"/>
  </r>
  <r>
    <d v="2022-05-14T00:00:00"/>
    <x v="6"/>
    <x v="4"/>
    <x v="13"/>
    <n v="414.06"/>
    <x v="3"/>
    <x v="6"/>
    <x v="1"/>
  </r>
  <r>
    <d v="2022-02-08T00:00:00"/>
    <x v="2"/>
    <x v="4"/>
    <x v="16"/>
    <n v="159.21"/>
    <x v="0"/>
    <x v="0"/>
    <x v="6"/>
  </r>
  <r>
    <d v="2022-02-20T00:00:00"/>
    <x v="4"/>
    <x v="0"/>
    <x v="1"/>
    <n v="195.1"/>
    <x v="1"/>
    <x v="0"/>
    <x v="0"/>
  </r>
  <r>
    <d v="2022-08-21T00:00:00"/>
    <x v="5"/>
    <x v="6"/>
    <x v="14"/>
    <n v="386.61"/>
    <x v="3"/>
    <x v="7"/>
    <x v="0"/>
  </r>
  <r>
    <d v="2022-07-28T00:00:00"/>
    <x v="3"/>
    <x v="2"/>
    <x v="15"/>
    <n v="22.99"/>
    <x v="3"/>
    <x v="4"/>
    <x v="4"/>
  </r>
  <r>
    <d v="2022-05-29T00:00:00"/>
    <x v="2"/>
    <x v="3"/>
    <x v="7"/>
    <n v="290.44"/>
    <x v="2"/>
    <x v="6"/>
    <x v="0"/>
  </r>
  <r>
    <d v="2022-05-19T00:00:00"/>
    <x v="0"/>
    <x v="6"/>
    <x v="3"/>
    <n v="79.459999999999994"/>
    <x v="4"/>
    <x v="6"/>
    <x v="4"/>
  </r>
  <r>
    <d v="2022-08-14T00:00:00"/>
    <x v="4"/>
    <x v="1"/>
    <x v="2"/>
    <n v="48.19"/>
    <x v="2"/>
    <x v="7"/>
    <x v="0"/>
  </r>
  <r>
    <d v="2022-01-10T00:00:00"/>
    <x v="2"/>
    <x v="4"/>
    <x v="14"/>
    <n v="166.83"/>
    <x v="4"/>
    <x v="2"/>
    <x v="2"/>
  </r>
  <r>
    <d v="2022-04-03T00:00:00"/>
    <x v="3"/>
    <x v="5"/>
    <x v="5"/>
    <n v="40.32"/>
    <x v="3"/>
    <x v="5"/>
    <x v="0"/>
  </r>
  <r>
    <d v="2022-06-27T00:00:00"/>
    <x v="6"/>
    <x v="5"/>
    <x v="12"/>
    <n v="176.45"/>
    <x v="3"/>
    <x v="3"/>
    <x v="2"/>
  </r>
  <r>
    <d v="2022-03-26T00:00:00"/>
    <x v="1"/>
    <x v="1"/>
    <x v="15"/>
    <n v="9.4"/>
    <x v="2"/>
    <x v="1"/>
    <x v="1"/>
  </r>
  <r>
    <d v="2022-01-29T00:00:00"/>
    <x v="6"/>
    <x v="5"/>
    <x v="8"/>
    <n v="176.73"/>
    <x v="0"/>
    <x v="2"/>
    <x v="1"/>
  </r>
  <r>
    <d v="2022-03-10T00:00:00"/>
    <x v="0"/>
    <x v="0"/>
    <x v="17"/>
    <n v="235.83"/>
    <x v="1"/>
    <x v="1"/>
    <x v="4"/>
  </r>
  <r>
    <d v="2022-02-08T00:00:00"/>
    <x v="3"/>
    <x v="6"/>
    <x v="8"/>
    <n v="106.76"/>
    <x v="1"/>
    <x v="0"/>
    <x v="6"/>
  </r>
  <r>
    <d v="2022-07-24T00:00:00"/>
    <x v="2"/>
    <x v="0"/>
    <x v="9"/>
    <n v="100.6"/>
    <x v="3"/>
    <x v="4"/>
    <x v="0"/>
  </r>
  <r>
    <d v="2022-03-22T00:00:00"/>
    <x v="5"/>
    <x v="5"/>
    <x v="8"/>
    <n v="214"/>
    <x v="1"/>
    <x v="1"/>
    <x v="6"/>
  </r>
  <r>
    <d v="2022-05-05T00:00:00"/>
    <x v="4"/>
    <x v="1"/>
    <x v="6"/>
    <n v="315.98"/>
    <x v="4"/>
    <x v="6"/>
    <x v="4"/>
  </r>
  <r>
    <d v="2022-02-11T00:00:00"/>
    <x v="4"/>
    <x v="3"/>
    <x v="15"/>
    <n v="13.06"/>
    <x v="4"/>
    <x v="0"/>
    <x v="5"/>
  </r>
  <r>
    <d v="2022-02-27T00:00:00"/>
    <x v="2"/>
    <x v="2"/>
    <x v="5"/>
    <n v="44.25"/>
    <x v="4"/>
    <x v="0"/>
    <x v="0"/>
  </r>
  <r>
    <d v="2022-07-18T00:00:00"/>
    <x v="0"/>
    <x v="2"/>
    <x v="3"/>
    <n v="97.26"/>
    <x v="1"/>
    <x v="4"/>
    <x v="2"/>
  </r>
  <r>
    <d v="2022-07-29T00:00:00"/>
    <x v="1"/>
    <x v="5"/>
    <x v="13"/>
    <n v="380.27"/>
    <x v="1"/>
    <x v="4"/>
    <x v="5"/>
  </r>
  <r>
    <d v="2022-04-14T00:00:00"/>
    <x v="0"/>
    <x v="5"/>
    <x v="11"/>
    <n v="79.13"/>
    <x v="2"/>
    <x v="5"/>
    <x v="4"/>
  </r>
  <r>
    <d v="2022-06-23T00:00:00"/>
    <x v="4"/>
    <x v="3"/>
    <x v="5"/>
    <n v="56.2"/>
    <x v="0"/>
    <x v="3"/>
    <x v="4"/>
  </r>
  <r>
    <d v="2022-06-05T00:00:00"/>
    <x v="5"/>
    <x v="3"/>
    <x v="0"/>
    <n v="156.91999999999999"/>
    <x v="1"/>
    <x v="3"/>
    <x v="0"/>
  </r>
  <r>
    <d v="2022-05-18T00:00:00"/>
    <x v="1"/>
    <x v="2"/>
    <x v="6"/>
    <n v="187.47"/>
    <x v="4"/>
    <x v="6"/>
    <x v="3"/>
  </r>
  <r>
    <d v="2022-05-14T00:00:00"/>
    <x v="4"/>
    <x v="0"/>
    <x v="10"/>
    <n v="234.19"/>
    <x v="3"/>
    <x v="6"/>
    <x v="1"/>
  </r>
  <r>
    <d v="2022-04-26T00:00:00"/>
    <x v="1"/>
    <x v="1"/>
    <x v="9"/>
    <n v="248.77"/>
    <x v="3"/>
    <x v="5"/>
    <x v="6"/>
  </r>
  <r>
    <d v="2022-01-19T00:00:00"/>
    <x v="3"/>
    <x v="6"/>
    <x v="8"/>
    <n v="224.04"/>
    <x v="1"/>
    <x v="2"/>
    <x v="3"/>
  </r>
  <r>
    <d v="2022-05-06T00:00:00"/>
    <x v="3"/>
    <x v="6"/>
    <x v="4"/>
    <n v="88.55"/>
    <x v="1"/>
    <x v="6"/>
    <x v="5"/>
  </r>
  <r>
    <d v="2022-03-02T00:00:00"/>
    <x v="2"/>
    <x v="5"/>
    <x v="13"/>
    <n v="302.63"/>
    <x v="2"/>
    <x v="1"/>
    <x v="3"/>
  </r>
  <r>
    <d v="2022-02-23T00:00:00"/>
    <x v="0"/>
    <x v="0"/>
    <x v="19"/>
    <n v="127.61"/>
    <x v="3"/>
    <x v="0"/>
    <x v="3"/>
  </r>
  <r>
    <d v="2022-07-17T00:00:00"/>
    <x v="3"/>
    <x v="6"/>
    <x v="0"/>
    <n v="85.93"/>
    <x v="1"/>
    <x v="4"/>
    <x v="0"/>
  </r>
  <r>
    <d v="2022-04-01T00:00:00"/>
    <x v="2"/>
    <x v="4"/>
    <x v="11"/>
    <n v="112.85"/>
    <x v="3"/>
    <x v="5"/>
    <x v="5"/>
  </r>
  <r>
    <d v="2022-08-02T00:00:00"/>
    <x v="6"/>
    <x v="1"/>
    <x v="2"/>
    <n v="18.27"/>
    <x v="3"/>
    <x v="7"/>
    <x v="6"/>
  </r>
  <r>
    <d v="2022-08-01T00:00:00"/>
    <x v="4"/>
    <x v="6"/>
    <x v="19"/>
    <n v="55.27"/>
    <x v="0"/>
    <x v="7"/>
    <x v="2"/>
  </r>
  <r>
    <d v="2022-06-26T00:00:00"/>
    <x v="3"/>
    <x v="5"/>
    <x v="8"/>
    <n v="186.86"/>
    <x v="4"/>
    <x v="3"/>
    <x v="0"/>
  </r>
  <r>
    <d v="2022-05-23T00:00:00"/>
    <x v="3"/>
    <x v="4"/>
    <x v="7"/>
    <n v="350.78"/>
    <x v="2"/>
    <x v="6"/>
    <x v="2"/>
  </r>
  <r>
    <d v="2022-06-11T00:00:00"/>
    <x v="6"/>
    <x v="4"/>
    <x v="2"/>
    <n v="46.75"/>
    <x v="0"/>
    <x v="3"/>
    <x v="1"/>
  </r>
  <r>
    <d v="2022-05-24T00:00:00"/>
    <x v="3"/>
    <x v="2"/>
    <x v="14"/>
    <n v="326.36"/>
    <x v="4"/>
    <x v="6"/>
    <x v="6"/>
  </r>
  <r>
    <d v="2022-05-23T00:00:00"/>
    <x v="4"/>
    <x v="5"/>
    <x v="15"/>
    <n v="12.41"/>
    <x v="0"/>
    <x v="6"/>
    <x v="2"/>
  </r>
  <r>
    <d v="2022-05-09T00:00:00"/>
    <x v="4"/>
    <x v="1"/>
    <x v="12"/>
    <n v="223.3"/>
    <x v="2"/>
    <x v="6"/>
    <x v="2"/>
  </r>
  <r>
    <d v="2022-02-01T00:00:00"/>
    <x v="5"/>
    <x v="5"/>
    <x v="14"/>
    <n v="202.9"/>
    <x v="4"/>
    <x v="0"/>
    <x v="6"/>
  </r>
  <r>
    <d v="2022-08-01T00:00:00"/>
    <x v="0"/>
    <x v="0"/>
    <x v="5"/>
    <n v="56.22"/>
    <x v="3"/>
    <x v="7"/>
    <x v="2"/>
  </r>
  <r>
    <d v="2022-08-23T00:00:00"/>
    <x v="3"/>
    <x v="6"/>
    <x v="16"/>
    <n v="246.29"/>
    <x v="0"/>
    <x v="7"/>
    <x v="6"/>
  </r>
  <r>
    <d v="2022-04-11T00:00:00"/>
    <x v="2"/>
    <x v="2"/>
    <x v="1"/>
    <n v="329.35"/>
    <x v="4"/>
    <x v="5"/>
    <x v="2"/>
  </r>
  <r>
    <d v="2022-04-19T00:00:00"/>
    <x v="5"/>
    <x v="4"/>
    <x v="10"/>
    <n v="349.22"/>
    <x v="3"/>
    <x v="5"/>
    <x v="6"/>
  </r>
  <r>
    <d v="2022-02-11T00:00:00"/>
    <x v="0"/>
    <x v="5"/>
    <x v="12"/>
    <n v="268.43"/>
    <x v="1"/>
    <x v="0"/>
    <x v="5"/>
  </r>
  <r>
    <d v="2022-02-21T00:00:00"/>
    <x v="1"/>
    <x v="4"/>
    <x v="10"/>
    <n v="319.69"/>
    <x v="3"/>
    <x v="0"/>
    <x v="2"/>
  </r>
  <r>
    <d v="2022-06-23T00:00:00"/>
    <x v="5"/>
    <x v="6"/>
    <x v="8"/>
    <n v="166.88"/>
    <x v="0"/>
    <x v="3"/>
    <x v="4"/>
  </r>
  <r>
    <d v="2022-05-05T00:00:00"/>
    <x v="0"/>
    <x v="3"/>
    <x v="2"/>
    <n v="29.69"/>
    <x v="4"/>
    <x v="6"/>
    <x v="4"/>
  </r>
  <r>
    <d v="2022-04-24T00:00:00"/>
    <x v="6"/>
    <x v="1"/>
    <x v="6"/>
    <n v="193.09"/>
    <x v="1"/>
    <x v="5"/>
    <x v="0"/>
  </r>
  <r>
    <d v="2022-06-26T00:00:00"/>
    <x v="6"/>
    <x v="1"/>
    <x v="17"/>
    <n v="276.52999999999997"/>
    <x v="4"/>
    <x v="3"/>
    <x v="0"/>
  </r>
  <r>
    <d v="2022-08-21T00:00:00"/>
    <x v="0"/>
    <x v="1"/>
    <x v="2"/>
    <n v="49.91"/>
    <x v="0"/>
    <x v="7"/>
    <x v="0"/>
  </r>
  <r>
    <d v="2022-06-25T00:00:00"/>
    <x v="3"/>
    <x v="6"/>
    <x v="17"/>
    <n v="131.88"/>
    <x v="0"/>
    <x v="3"/>
    <x v="1"/>
  </r>
  <r>
    <d v="2022-02-08T00:00:00"/>
    <x v="4"/>
    <x v="5"/>
    <x v="17"/>
    <n v="306.63"/>
    <x v="1"/>
    <x v="0"/>
    <x v="6"/>
  </r>
  <r>
    <d v="2022-07-11T00:00:00"/>
    <x v="6"/>
    <x v="2"/>
    <x v="4"/>
    <n v="162.66999999999999"/>
    <x v="1"/>
    <x v="4"/>
    <x v="2"/>
  </r>
  <r>
    <d v="2022-07-24T00:00:00"/>
    <x v="6"/>
    <x v="3"/>
    <x v="13"/>
    <n v="216.6"/>
    <x v="4"/>
    <x v="4"/>
    <x v="0"/>
  </r>
  <r>
    <d v="2022-05-28T00:00:00"/>
    <x v="1"/>
    <x v="1"/>
    <x v="13"/>
    <n v="427.81"/>
    <x v="3"/>
    <x v="6"/>
    <x v="1"/>
  </r>
  <r>
    <d v="2022-05-25T00:00:00"/>
    <x v="5"/>
    <x v="3"/>
    <x v="3"/>
    <n v="79.489999999999995"/>
    <x v="0"/>
    <x v="6"/>
    <x v="3"/>
  </r>
  <r>
    <d v="2022-06-16T00:00:00"/>
    <x v="5"/>
    <x v="0"/>
    <x v="17"/>
    <n v="300.37"/>
    <x v="2"/>
    <x v="3"/>
    <x v="4"/>
  </r>
  <r>
    <d v="2022-02-18T00:00:00"/>
    <x v="4"/>
    <x v="0"/>
    <x v="5"/>
    <n v="73.09"/>
    <x v="1"/>
    <x v="0"/>
    <x v="5"/>
  </r>
  <r>
    <d v="2022-04-24T00:00:00"/>
    <x v="0"/>
    <x v="3"/>
    <x v="8"/>
    <n v="125.38"/>
    <x v="3"/>
    <x v="5"/>
    <x v="0"/>
  </r>
  <r>
    <d v="2022-05-18T00:00:00"/>
    <x v="1"/>
    <x v="1"/>
    <x v="12"/>
    <n v="155.47999999999999"/>
    <x v="3"/>
    <x v="6"/>
    <x v="3"/>
  </r>
  <r>
    <d v="2022-07-14T00:00:00"/>
    <x v="2"/>
    <x v="2"/>
    <x v="17"/>
    <n v="340.68"/>
    <x v="2"/>
    <x v="4"/>
    <x v="4"/>
  </r>
  <r>
    <d v="2022-07-23T00:00:00"/>
    <x v="0"/>
    <x v="0"/>
    <x v="3"/>
    <n v="49.44"/>
    <x v="0"/>
    <x v="4"/>
    <x v="1"/>
  </r>
  <r>
    <d v="2022-07-02T00:00:00"/>
    <x v="1"/>
    <x v="5"/>
    <x v="10"/>
    <n v="344.7"/>
    <x v="3"/>
    <x v="4"/>
    <x v="1"/>
  </r>
  <r>
    <d v="2022-07-06T00:00:00"/>
    <x v="4"/>
    <x v="0"/>
    <x v="3"/>
    <n v="95.03"/>
    <x v="0"/>
    <x v="4"/>
    <x v="3"/>
  </r>
  <r>
    <d v="2022-04-22T00:00:00"/>
    <x v="4"/>
    <x v="4"/>
    <x v="5"/>
    <n v="52.4"/>
    <x v="3"/>
    <x v="5"/>
    <x v="5"/>
  </r>
  <r>
    <d v="2022-04-26T00:00:00"/>
    <x v="5"/>
    <x v="1"/>
    <x v="3"/>
    <n v="106.94"/>
    <x v="3"/>
    <x v="5"/>
    <x v="6"/>
  </r>
  <r>
    <d v="2022-03-25T00:00:00"/>
    <x v="1"/>
    <x v="3"/>
    <x v="3"/>
    <n v="94.04"/>
    <x v="3"/>
    <x v="1"/>
    <x v="5"/>
  </r>
  <r>
    <d v="2022-01-06T00:00:00"/>
    <x v="4"/>
    <x v="4"/>
    <x v="5"/>
    <n v="54.15"/>
    <x v="1"/>
    <x v="2"/>
    <x v="4"/>
  </r>
  <r>
    <d v="2022-04-30T00:00:00"/>
    <x v="6"/>
    <x v="2"/>
    <x v="10"/>
    <n v="115.82"/>
    <x v="2"/>
    <x v="5"/>
    <x v="1"/>
  </r>
  <r>
    <d v="2022-06-19T00:00:00"/>
    <x v="6"/>
    <x v="5"/>
    <x v="11"/>
    <n v="204"/>
    <x v="2"/>
    <x v="3"/>
    <x v="0"/>
  </r>
  <r>
    <d v="2022-07-07T00:00:00"/>
    <x v="6"/>
    <x v="5"/>
    <x v="15"/>
    <n v="19.920000000000002"/>
    <x v="2"/>
    <x v="4"/>
    <x v="4"/>
  </r>
  <r>
    <d v="2022-05-27T00:00:00"/>
    <x v="3"/>
    <x v="2"/>
    <x v="9"/>
    <n v="151.09"/>
    <x v="1"/>
    <x v="6"/>
    <x v="5"/>
  </r>
  <r>
    <d v="2022-07-27T00:00:00"/>
    <x v="2"/>
    <x v="3"/>
    <x v="5"/>
    <n v="59.89"/>
    <x v="4"/>
    <x v="4"/>
    <x v="3"/>
  </r>
  <r>
    <d v="2022-05-31T00:00:00"/>
    <x v="4"/>
    <x v="2"/>
    <x v="12"/>
    <n v="363.94"/>
    <x v="1"/>
    <x v="6"/>
    <x v="6"/>
  </r>
  <r>
    <d v="2022-05-18T00:00:00"/>
    <x v="3"/>
    <x v="4"/>
    <x v="0"/>
    <n v="91.95"/>
    <x v="2"/>
    <x v="6"/>
    <x v="3"/>
  </r>
  <r>
    <d v="2022-06-16T00:00:00"/>
    <x v="6"/>
    <x v="3"/>
    <x v="12"/>
    <n v="150.34"/>
    <x v="2"/>
    <x v="3"/>
    <x v="4"/>
  </r>
  <r>
    <d v="2022-05-17T00:00:00"/>
    <x v="6"/>
    <x v="2"/>
    <x v="7"/>
    <n v="180.65"/>
    <x v="0"/>
    <x v="6"/>
    <x v="6"/>
  </r>
  <r>
    <d v="2022-02-05T00:00:00"/>
    <x v="3"/>
    <x v="5"/>
    <x v="4"/>
    <n v="110.6"/>
    <x v="4"/>
    <x v="0"/>
    <x v="1"/>
  </r>
  <r>
    <d v="2022-04-14T00:00:00"/>
    <x v="0"/>
    <x v="1"/>
    <x v="13"/>
    <n v="330.3"/>
    <x v="0"/>
    <x v="5"/>
    <x v="4"/>
  </r>
  <r>
    <d v="2022-07-01T00:00:00"/>
    <x v="2"/>
    <x v="6"/>
    <x v="4"/>
    <n v="93.83"/>
    <x v="3"/>
    <x v="4"/>
    <x v="5"/>
  </r>
  <r>
    <d v="2022-01-11T00:00:00"/>
    <x v="1"/>
    <x v="0"/>
    <x v="14"/>
    <n v="210.77"/>
    <x v="2"/>
    <x v="2"/>
    <x v="6"/>
  </r>
  <r>
    <d v="2022-06-09T00:00:00"/>
    <x v="0"/>
    <x v="2"/>
    <x v="10"/>
    <n v="307.75"/>
    <x v="3"/>
    <x v="3"/>
    <x v="4"/>
  </r>
  <r>
    <d v="2022-06-02T00:00:00"/>
    <x v="3"/>
    <x v="5"/>
    <x v="1"/>
    <n v="149.85"/>
    <x v="0"/>
    <x v="3"/>
    <x v="4"/>
  </r>
  <r>
    <d v="2022-07-09T00:00:00"/>
    <x v="6"/>
    <x v="6"/>
    <x v="13"/>
    <n v="176.04"/>
    <x v="2"/>
    <x v="4"/>
    <x v="1"/>
  </r>
  <r>
    <d v="2022-07-10T00:00:00"/>
    <x v="4"/>
    <x v="0"/>
    <x v="4"/>
    <n v="102.72"/>
    <x v="3"/>
    <x v="4"/>
    <x v="0"/>
  </r>
  <r>
    <d v="2022-08-06T00:00:00"/>
    <x v="2"/>
    <x v="3"/>
    <x v="1"/>
    <n v="224.44"/>
    <x v="0"/>
    <x v="7"/>
    <x v="1"/>
  </r>
  <r>
    <d v="2022-02-14T00:00:00"/>
    <x v="5"/>
    <x v="4"/>
    <x v="15"/>
    <n v="23.68"/>
    <x v="0"/>
    <x v="0"/>
    <x v="2"/>
  </r>
  <r>
    <d v="2022-05-04T00:00:00"/>
    <x v="6"/>
    <x v="0"/>
    <x v="2"/>
    <n v="47.79"/>
    <x v="0"/>
    <x v="6"/>
    <x v="3"/>
  </r>
  <r>
    <d v="2022-08-17T00:00:00"/>
    <x v="1"/>
    <x v="3"/>
    <x v="16"/>
    <n v="154.6"/>
    <x v="4"/>
    <x v="7"/>
    <x v="3"/>
  </r>
  <r>
    <d v="2022-05-17T00:00:00"/>
    <x v="6"/>
    <x v="1"/>
    <x v="4"/>
    <n v="158.49"/>
    <x v="4"/>
    <x v="6"/>
    <x v="6"/>
  </r>
  <r>
    <d v="2022-08-02T00:00:00"/>
    <x v="5"/>
    <x v="4"/>
    <x v="0"/>
    <n v="68.989999999999995"/>
    <x v="4"/>
    <x v="7"/>
    <x v="6"/>
  </r>
  <r>
    <d v="2022-05-21T00:00:00"/>
    <x v="5"/>
    <x v="1"/>
    <x v="11"/>
    <n v="186.56"/>
    <x v="4"/>
    <x v="6"/>
    <x v="1"/>
  </r>
  <r>
    <d v="2022-06-21T00:00:00"/>
    <x v="2"/>
    <x v="6"/>
    <x v="2"/>
    <n v="36.61"/>
    <x v="1"/>
    <x v="3"/>
    <x v="6"/>
  </r>
  <r>
    <d v="2022-01-08T00:00:00"/>
    <x v="2"/>
    <x v="3"/>
    <x v="17"/>
    <n v="392.8"/>
    <x v="0"/>
    <x v="2"/>
    <x v="1"/>
  </r>
  <r>
    <d v="2022-06-11T00:00:00"/>
    <x v="6"/>
    <x v="2"/>
    <x v="3"/>
    <n v="82.32"/>
    <x v="4"/>
    <x v="3"/>
    <x v="1"/>
  </r>
  <r>
    <d v="2022-04-08T00:00:00"/>
    <x v="5"/>
    <x v="1"/>
    <x v="19"/>
    <n v="128.69"/>
    <x v="2"/>
    <x v="5"/>
    <x v="5"/>
  </r>
  <r>
    <d v="2022-08-04T00:00:00"/>
    <x v="0"/>
    <x v="1"/>
    <x v="6"/>
    <n v="323.95999999999998"/>
    <x v="3"/>
    <x v="7"/>
    <x v="4"/>
  </r>
  <r>
    <d v="2022-03-13T00:00:00"/>
    <x v="6"/>
    <x v="5"/>
    <x v="11"/>
    <n v="180.57"/>
    <x v="0"/>
    <x v="1"/>
    <x v="0"/>
  </r>
  <r>
    <d v="2022-08-25T00:00:00"/>
    <x v="1"/>
    <x v="5"/>
    <x v="1"/>
    <n v="229.15"/>
    <x v="2"/>
    <x v="7"/>
    <x v="4"/>
  </r>
  <r>
    <d v="2022-08-19T00:00:00"/>
    <x v="0"/>
    <x v="5"/>
    <x v="0"/>
    <n v="163.5"/>
    <x v="3"/>
    <x v="7"/>
    <x v="5"/>
  </r>
  <r>
    <d v="2022-03-10T00:00:00"/>
    <x v="1"/>
    <x v="4"/>
    <x v="19"/>
    <n v="124.34"/>
    <x v="4"/>
    <x v="1"/>
    <x v="4"/>
  </r>
  <r>
    <d v="2022-02-21T00:00:00"/>
    <x v="6"/>
    <x v="5"/>
    <x v="3"/>
    <n v="64.33"/>
    <x v="2"/>
    <x v="0"/>
    <x v="2"/>
  </r>
  <r>
    <d v="2022-05-04T00:00:00"/>
    <x v="1"/>
    <x v="0"/>
    <x v="4"/>
    <n v="94.84"/>
    <x v="4"/>
    <x v="6"/>
    <x v="3"/>
  </r>
  <r>
    <d v="2022-01-19T00:00:00"/>
    <x v="3"/>
    <x v="3"/>
    <x v="1"/>
    <n v="432"/>
    <x v="1"/>
    <x v="2"/>
    <x v="3"/>
  </r>
  <r>
    <d v="2022-06-03T00:00:00"/>
    <x v="4"/>
    <x v="6"/>
    <x v="14"/>
    <n v="368.72"/>
    <x v="3"/>
    <x v="3"/>
    <x v="5"/>
  </r>
  <r>
    <d v="2022-07-09T00:00:00"/>
    <x v="6"/>
    <x v="1"/>
    <x v="13"/>
    <n v="486.94"/>
    <x v="4"/>
    <x v="4"/>
    <x v="1"/>
  </r>
  <r>
    <d v="2022-08-10T00:00:00"/>
    <x v="1"/>
    <x v="0"/>
    <x v="6"/>
    <n v="320.79000000000002"/>
    <x v="4"/>
    <x v="7"/>
    <x v="3"/>
  </r>
  <r>
    <d v="2022-07-13T00:00:00"/>
    <x v="3"/>
    <x v="5"/>
    <x v="1"/>
    <n v="431.39"/>
    <x v="4"/>
    <x v="4"/>
    <x v="3"/>
  </r>
  <r>
    <d v="2022-02-25T00:00:00"/>
    <x v="5"/>
    <x v="4"/>
    <x v="18"/>
    <n v="67.5"/>
    <x v="2"/>
    <x v="0"/>
    <x v="5"/>
  </r>
  <r>
    <d v="2022-07-27T00:00:00"/>
    <x v="4"/>
    <x v="3"/>
    <x v="12"/>
    <n v="220.62"/>
    <x v="4"/>
    <x v="4"/>
    <x v="3"/>
  </r>
  <r>
    <d v="2022-08-13T00:00:00"/>
    <x v="4"/>
    <x v="5"/>
    <x v="3"/>
    <n v="97.52"/>
    <x v="4"/>
    <x v="7"/>
    <x v="1"/>
  </r>
  <r>
    <d v="2022-08-27T00:00:00"/>
    <x v="1"/>
    <x v="1"/>
    <x v="19"/>
    <n v="112.49"/>
    <x v="3"/>
    <x v="7"/>
    <x v="1"/>
  </r>
  <r>
    <d v="2022-03-18T00:00:00"/>
    <x v="1"/>
    <x v="6"/>
    <x v="2"/>
    <n v="45.57"/>
    <x v="1"/>
    <x v="1"/>
    <x v="5"/>
  </r>
  <r>
    <d v="2022-07-17T00:00:00"/>
    <x v="5"/>
    <x v="1"/>
    <x v="11"/>
    <n v="100.77"/>
    <x v="2"/>
    <x v="4"/>
    <x v="0"/>
  </r>
  <r>
    <d v="2022-04-29T00:00:00"/>
    <x v="3"/>
    <x v="1"/>
    <x v="9"/>
    <n v="295.77999999999997"/>
    <x v="0"/>
    <x v="5"/>
    <x v="5"/>
  </r>
  <r>
    <d v="2022-06-07T00:00:00"/>
    <x v="3"/>
    <x v="5"/>
    <x v="7"/>
    <n v="381.45"/>
    <x v="2"/>
    <x v="3"/>
    <x v="6"/>
  </r>
  <r>
    <d v="2022-01-31T00:00:00"/>
    <x v="6"/>
    <x v="0"/>
    <x v="8"/>
    <n v="155.16"/>
    <x v="1"/>
    <x v="2"/>
    <x v="2"/>
  </r>
  <r>
    <d v="2022-05-31T00:00:00"/>
    <x v="3"/>
    <x v="2"/>
    <x v="1"/>
    <n v="309.25"/>
    <x v="0"/>
    <x v="6"/>
    <x v="6"/>
  </r>
  <r>
    <d v="2022-06-05T00:00:00"/>
    <x v="0"/>
    <x v="5"/>
    <x v="5"/>
    <n v="48.59"/>
    <x v="2"/>
    <x v="3"/>
    <x v="0"/>
  </r>
  <r>
    <d v="2022-01-26T00:00:00"/>
    <x v="5"/>
    <x v="3"/>
    <x v="10"/>
    <n v="141.91999999999999"/>
    <x v="1"/>
    <x v="2"/>
    <x v="3"/>
  </r>
  <r>
    <d v="2022-08-25T00:00:00"/>
    <x v="2"/>
    <x v="6"/>
    <x v="18"/>
    <n v="67.94"/>
    <x v="3"/>
    <x v="7"/>
    <x v="4"/>
  </r>
  <r>
    <d v="2022-01-14T00:00:00"/>
    <x v="5"/>
    <x v="1"/>
    <x v="6"/>
    <n v="289.57"/>
    <x v="3"/>
    <x v="2"/>
    <x v="5"/>
  </r>
  <r>
    <d v="2022-03-23T00:00:00"/>
    <x v="6"/>
    <x v="4"/>
    <x v="14"/>
    <n v="335.15"/>
    <x v="0"/>
    <x v="1"/>
    <x v="3"/>
  </r>
  <r>
    <d v="2022-08-03T00:00:00"/>
    <x v="4"/>
    <x v="6"/>
    <x v="19"/>
    <n v="88.2"/>
    <x v="4"/>
    <x v="7"/>
    <x v="3"/>
  </r>
  <r>
    <d v="2022-04-05T00:00:00"/>
    <x v="6"/>
    <x v="2"/>
    <x v="2"/>
    <n v="47.92"/>
    <x v="1"/>
    <x v="5"/>
    <x v="6"/>
  </r>
  <r>
    <d v="2022-01-28T00:00:00"/>
    <x v="1"/>
    <x v="5"/>
    <x v="0"/>
    <n v="65.17"/>
    <x v="0"/>
    <x v="2"/>
    <x v="5"/>
  </r>
  <r>
    <d v="2022-01-16T00:00:00"/>
    <x v="4"/>
    <x v="0"/>
    <x v="5"/>
    <n v="27.98"/>
    <x v="3"/>
    <x v="2"/>
    <x v="0"/>
  </r>
  <r>
    <d v="2022-02-21T00:00:00"/>
    <x v="6"/>
    <x v="6"/>
    <x v="4"/>
    <n v="197.83"/>
    <x v="3"/>
    <x v="0"/>
    <x v="2"/>
  </r>
  <r>
    <d v="2022-03-02T00:00:00"/>
    <x v="5"/>
    <x v="1"/>
    <x v="8"/>
    <n v="204.72"/>
    <x v="1"/>
    <x v="1"/>
    <x v="3"/>
  </r>
  <r>
    <d v="2022-03-02T00:00:00"/>
    <x v="0"/>
    <x v="0"/>
    <x v="7"/>
    <n v="316.18"/>
    <x v="2"/>
    <x v="1"/>
    <x v="3"/>
  </r>
  <r>
    <d v="2022-02-20T00:00:00"/>
    <x v="1"/>
    <x v="6"/>
    <x v="4"/>
    <n v="81.36"/>
    <x v="0"/>
    <x v="0"/>
    <x v="0"/>
  </r>
  <r>
    <d v="2022-03-13T00:00:00"/>
    <x v="0"/>
    <x v="0"/>
    <x v="1"/>
    <n v="315.74"/>
    <x v="4"/>
    <x v="1"/>
    <x v="0"/>
  </r>
  <r>
    <d v="2022-02-02T00:00:00"/>
    <x v="3"/>
    <x v="6"/>
    <x v="18"/>
    <n v="88.26"/>
    <x v="4"/>
    <x v="0"/>
    <x v="3"/>
  </r>
  <r>
    <d v="2022-07-20T00:00:00"/>
    <x v="0"/>
    <x v="3"/>
    <x v="2"/>
    <n v="28.36"/>
    <x v="1"/>
    <x v="4"/>
    <x v="3"/>
  </r>
  <r>
    <d v="2022-05-03T00:00:00"/>
    <x v="2"/>
    <x v="1"/>
    <x v="11"/>
    <n v="138.31"/>
    <x v="1"/>
    <x v="6"/>
    <x v="6"/>
  </r>
  <r>
    <d v="2022-05-02T00:00:00"/>
    <x v="0"/>
    <x v="6"/>
    <x v="1"/>
    <n v="260.35000000000002"/>
    <x v="3"/>
    <x v="6"/>
    <x v="2"/>
  </r>
  <r>
    <d v="2022-06-25T00:00:00"/>
    <x v="2"/>
    <x v="3"/>
    <x v="6"/>
    <n v="227.31"/>
    <x v="2"/>
    <x v="3"/>
    <x v="1"/>
  </r>
  <r>
    <d v="2022-08-25T00:00:00"/>
    <x v="6"/>
    <x v="5"/>
    <x v="17"/>
    <n v="130.5"/>
    <x v="0"/>
    <x v="7"/>
    <x v="4"/>
  </r>
  <r>
    <d v="2022-07-27T00:00:00"/>
    <x v="5"/>
    <x v="0"/>
    <x v="18"/>
    <n v="86.5"/>
    <x v="3"/>
    <x v="4"/>
    <x v="3"/>
  </r>
  <r>
    <d v="2022-08-26T00:00:00"/>
    <x v="4"/>
    <x v="1"/>
    <x v="14"/>
    <n v="364.12"/>
    <x v="0"/>
    <x v="7"/>
    <x v="5"/>
  </r>
  <r>
    <d v="2022-05-13T00:00:00"/>
    <x v="4"/>
    <x v="1"/>
    <x v="0"/>
    <n v="134.85"/>
    <x v="2"/>
    <x v="6"/>
    <x v="5"/>
  </r>
  <r>
    <d v="2022-02-12T00:00:00"/>
    <x v="3"/>
    <x v="4"/>
    <x v="10"/>
    <n v="290.45"/>
    <x v="2"/>
    <x v="0"/>
    <x v="1"/>
  </r>
  <r>
    <d v="2022-03-14T00:00:00"/>
    <x v="6"/>
    <x v="6"/>
    <x v="13"/>
    <n v="244.72"/>
    <x v="1"/>
    <x v="1"/>
    <x v="2"/>
  </r>
  <r>
    <d v="2022-06-11T00:00:00"/>
    <x v="1"/>
    <x v="0"/>
    <x v="18"/>
    <n v="75.989999999999995"/>
    <x v="2"/>
    <x v="3"/>
    <x v="1"/>
  </r>
  <r>
    <d v="2022-03-03T00:00:00"/>
    <x v="4"/>
    <x v="3"/>
    <x v="6"/>
    <n v="318.33"/>
    <x v="3"/>
    <x v="1"/>
    <x v="4"/>
  </r>
  <r>
    <d v="2022-01-07T00:00:00"/>
    <x v="4"/>
    <x v="4"/>
    <x v="16"/>
    <n v="220.07"/>
    <x v="3"/>
    <x v="2"/>
    <x v="5"/>
  </r>
  <r>
    <d v="2022-01-13T00:00:00"/>
    <x v="1"/>
    <x v="3"/>
    <x v="7"/>
    <n v="311.83"/>
    <x v="1"/>
    <x v="2"/>
    <x v="4"/>
  </r>
  <r>
    <d v="2022-01-27T00:00:00"/>
    <x v="1"/>
    <x v="6"/>
    <x v="9"/>
    <n v="158.5"/>
    <x v="4"/>
    <x v="2"/>
    <x v="4"/>
  </r>
  <r>
    <d v="2022-07-07T00:00:00"/>
    <x v="0"/>
    <x v="5"/>
    <x v="3"/>
    <n v="57.11"/>
    <x v="1"/>
    <x v="4"/>
    <x v="4"/>
  </r>
  <r>
    <d v="2022-02-13T00:00:00"/>
    <x v="2"/>
    <x v="3"/>
    <x v="0"/>
    <n v="125.02"/>
    <x v="0"/>
    <x v="0"/>
    <x v="0"/>
  </r>
  <r>
    <d v="2022-04-08T00:00:00"/>
    <x v="2"/>
    <x v="5"/>
    <x v="13"/>
    <n v="494.08"/>
    <x v="3"/>
    <x v="5"/>
    <x v="5"/>
  </r>
  <r>
    <d v="2022-07-02T00:00:00"/>
    <x v="1"/>
    <x v="3"/>
    <x v="7"/>
    <n v="374.2"/>
    <x v="0"/>
    <x v="4"/>
    <x v="1"/>
  </r>
  <r>
    <d v="2022-02-14T00:00:00"/>
    <x v="0"/>
    <x v="1"/>
    <x v="12"/>
    <n v="312.47000000000003"/>
    <x v="1"/>
    <x v="0"/>
    <x v="2"/>
  </r>
  <r>
    <d v="2022-07-15T00:00:00"/>
    <x v="6"/>
    <x v="2"/>
    <x v="17"/>
    <n v="371.27"/>
    <x v="4"/>
    <x v="4"/>
    <x v="5"/>
  </r>
  <r>
    <d v="2022-02-08T00:00:00"/>
    <x v="3"/>
    <x v="0"/>
    <x v="2"/>
    <n v="49.7"/>
    <x v="2"/>
    <x v="0"/>
    <x v="6"/>
  </r>
  <r>
    <d v="2022-02-16T00:00:00"/>
    <x v="4"/>
    <x v="5"/>
    <x v="15"/>
    <n v="8.77"/>
    <x v="3"/>
    <x v="0"/>
    <x v="3"/>
  </r>
  <r>
    <d v="2022-08-22T00:00:00"/>
    <x v="5"/>
    <x v="4"/>
    <x v="0"/>
    <n v="146.37"/>
    <x v="4"/>
    <x v="7"/>
    <x v="2"/>
  </r>
  <r>
    <d v="2022-05-15T00:00:00"/>
    <x v="3"/>
    <x v="2"/>
    <x v="12"/>
    <n v="273.64999999999998"/>
    <x v="1"/>
    <x v="6"/>
    <x v="0"/>
  </r>
  <r>
    <d v="2022-07-15T00:00:00"/>
    <x v="6"/>
    <x v="6"/>
    <x v="10"/>
    <n v="185.36"/>
    <x v="3"/>
    <x v="4"/>
    <x v="5"/>
  </r>
  <r>
    <d v="2022-03-02T00:00:00"/>
    <x v="4"/>
    <x v="4"/>
    <x v="7"/>
    <n v="219.07"/>
    <x v="1"/>
    <x v="1"/>
    <x v="3"/>
  </r>
  <r>
    <d v="2022-01-07T00:00:00"/>
    <x v="6"/>
    <x v="6"/>
    <x v="9"/>
    <n v="134.44"/>
    <x v="2"/>
    <x v="2"/>
    <x v="5"/>
  </r>
  <r>
    <d v="2022-02-11T00:00:00"/>
    <x v="4"/>
    <x v="5"/>
    <x v="14"/>
    <n v="474.65"/>
    <x v="0"/>
    <x v="0"/>
    <x v="5"/>
  </r>
  <r>
    <d v="2022-02-05T00:00:00"/>
    <x v="4"/>
    <x v="1"/>
    <x v="10"/>
    <n v="289.68"/>
    <x v="3"/>
    <x v="0"/>
    <x v="1"/>
  </r>
  <r>
    <d v="2022-04-27T00:00:00"/>
    <x v="2"/>
    <x v="6"/>
    <x v="1"/>
    <n v="401.63"/>
    <x v="0"/>
    <x v="5"/>
    <x v="3"/>
  </r>
  <r>
    <d v="2022-03-16T00:00:00"/>
    <x v="5"/>
    <x v="6"/>
    <x v="9"/>
    <n v="123.89"/>
    <x v="3"/>
    <x v="1"/>
    <x v="3"/>
  </r>
  <r>
    <d v="2022-07-17T00:00:00"/>
    <x v="2"/>
    <x v="4"/>
    <x v="0"/>
    <n v="140.54"/>
    <x v="2"/>
    <x v="4"/>
    <x v="0"/>
  </r>
  <r>
    <d v="2022-07-24T00:00:00"/>
    <x v="1"/>
    <x v="3"/>
    <x v="16"/>
    <n v="209.65"/>
    <x v="3"/>
    <x v="4"/>
    <x v="0"/>
  </r>
  <r>
    <d v="2022-01-18T00:00:00"/>
    <x v="4"/>
    <x v="0"/>
    <x v="2"/>
    <n v="33.090000000000003"/>
    <x v="2"/>
    <x v="2"/>
    <x v="6"/>
  </r>
  <r>
    <d v="2022-07-24T00:00:00"/>
    <x v="6"/>
    <x v="2"/>
    <x v="4"/>
    <n v="157.03"/>
    <x v="4"/>
    <x v="4"/>
    <x v="0"/>
  </r>
  <r>
    <d v="2022-07-26T00:00:00"/>
    <x v="1"/>
    <x v="3"/>
    <x v="15"/>
    <n v="17.670000000000002"/>
    <x v="4"/>
    <x v="4"/>
    <x v="6"/>
  </r>
  <r>
    <d v="2022-06-03T00:00:00"/>
    <x v="2"/>
    <x v="3"/>
    <x v="14"/>
    <n v="341.45"/>
    <x v="2"/>
    <x v="3"/>
    <x v="5"/>
  </r>
  <r>
    <d v="2022-06-05T00:00:00"/>
    <x v="3"/>
    <x v="3"/>
    <x v="10"/>
    <n v="194.98"/>
    <x v="4"/>
    <x v="3"/>
    <x v="0"/>
  </r>
  <r>
    <d v="2022-08-12T00:00:00"/>
    <x v="0"/>
    <x v="2"/>
    <x v="4"/>
    <n v="78.790000000000006"/>
    <x v="0"/>
    <x v="7"/>
    <x v="5"/>
  </r>
  <r>
    <d v="2022-06-16T00:00:00"/>
    <x v="3"/>
    <x v="0"/>
    <x v="10"/>
    <n v="131.03"/>
    <x v="4"/>
    <x v="3"/>
    <x v="4"/>
  </r>
  <r>
    <d v="2022-01-27T00:00:00"/>
    <x v="5"/>
    <x v="6"/>
    <x v="2"/>
    <n v="33.67"/>
    <x v="1"/>
    <x v="2"/>
    <x v="4"/>
  </r>
  <r>
    <d v="2022-06-04T00:00:00"/>
    <x v="2"/>
    <x v="3"/>
    <x v="3"/>
    <n v="41.09"/>
    <x v="0"/>
    <x v="3"/>
    <x v="1"/>
  </r>
  <r>
    <d v="2022-06-23T00:00:00"/>
    <x v="0"/>
    <x v="2"/>
    <x v="15"/>
    <n v="17.39"/>
    <x v="1"/>
    <x v="3"/>
    <x v="4"/>
  </r>
  <r>
    <d v="2022-07-14T00:00:00"/>
    <x v="1"/>
    <x v="5"/>
    <x v="1"/>
    <n v="364.2"/>
    <x v="4"/>
    <x v="4"/>
    <x v="4"/>
  </r>
  <r>
    <d v="2022-01-22T00:00:00"/>
    <x v="3"/>
    <x v="0"/>
    <x v="19"/>
    <n v="68.209999999999994"/>
    <x v="2"/>
    <x v="2"/>
    <x v="1"/>
  </r>
  <r>
    <d v="2022-07-22T00:00:00"/>
    <x v="3"/>
    <x v="4"/>
    <x v="13"/>
    <n v="479.93"/>
    <x v="1"/>
    <x v="4"/>
    <x v="5"/>
  </r>
  <r>
    <d v="2022-05-16T00:00:00"/>
    <x v="6"/>
    <x v="3"/>
    <x v="19"/>
    <n v="136.59"/>
    <x v="2"/>
    <x v="6"/>
    <x v="2"/>
  </r>
  <r>
    <d v="2022-08-26T00:00:00"/>
    <x v="4"/>
    <x v="5"/>
    <x v="2"/>
    <n v="45.31"/>
    <x v="3"/>
    <x v="7"/>
    <x v="5"/>
  </r>
  <r>
    <d v="2022-03-09T00:00:00"/>
    <x v="1"/>
    <x v="5"/>
    <x v="8"/>
    <n v="246.17"/>
    <x v="1"/>
    <x v="1"/>
    <x v="3"/>
  </r>
  <r>
    <d v="2022-01-13T00:00:00"/>
    <x v="3"/>
    <x v="2"/>
    <x v="12"/>
    <n v="362.44"/>
    <x v="1"/>
    <x v="2"/>
    <x v="4"/>
  </r>
  <r>
    <d v="2022-02-28T00:00:00"/>
    <x v="3"/>
    <x v="0"/>
    <x v="0"/>
    <n v="133.38"/>
    <x v="2"/>
    <x v="0"/>
    <x v="2"/>
  </r>
  <r>
    <d v="2022-04-27T00:00:00"/>
    <x v="4"/>
    <x v="6"/>
    <x v="15"/>
    <n v="16.87"/>
    <x v="1"/>
    <x v="5"/>
    <x v="3"/>
  </r>
  <r>
    <d v="2022-02-03T00:00:00"/>
    <x v="5"/>
    <x v="0"/>
    <x v="12"/>
    <n v="191.54"/>
    <x v="1"/>
    <x v="0"/>
    <x v="4"/>
  </r>
  <r>
    <d v="2022-02-21T00:00:00"/>
    <x v="1"/>
    <x v="1"/>
    <x v="2"/>
    <n v="26.91"/>
    <x v="4"/>
    <x v="0"/>
    <x v="2"/>
  </r>
  <r>
    <d v="2022-08-04T00:00:00"/>
    <x v="3"/>
    <x v="3"/>
    <x v="5"/>
    <n v="59.95"/>
    <x v="2"/>
    <x v="7"/>
    <x v="4"/>
  </r>
  <r>
    <d v="2022-04-27T00:00:00"/>
    <x v="4"/>
    <x v="1"/>
    <x v="10"/>
    <n v="183.32"/>
    <x v="4"/>
    <x v="5"/>
    <x v="3"/>
  </r>
  <r>
    <d v="2022-02-13T00:00:00"/>
    <x v="5"/>
    <x v="4"/>
    <x v="12"/>
    <n v="321.39999999999998"/>
    <x v="2"/>
    <x v="0"/>
    <x v="0"/>
  </r>
  <r>
    <d v="2022-03-23T00:00:00"/>
    <x v="4"/>
    <x v="5"/>
    <x v="2"/>
    <n v="31.15"/>
    <x v="3"/>
    <x v="1"/>
    <x v="3"/>
  </r>
  <r>
    <d v="2022-05-06T00:00:00"/>
    <x v="5"/>
    <x v="5"/>
    <x v="4"/>
    <n v="89.9"/>
    <x v="4"/>
    <x v="6"/>
    <x v="5"/>
  </r>
  <r>
    <d v="2022-04-25T00:00:00"/>
    <x v="1"/>
    <x v="4"/>
    <x v="3"/>
    <n v="64.41"/>
    <x v="3"/>
    <x v="5"/>
    <x v="2"/>
  </r>
  <r>
    <d v="2022-03-28T00:00:00"/>
    <x v="1"/>
    <x v="0"/>
    <x v="13"/>
    <n v="186.45"/>
    <x v="0"/>
    <x v="1"/>
    <x v="2"/>
  </r>
  <r>
    <d v="2022-08-17T00:00:00"/>
    <x v="5"/>
    <x v="5"/>
    <x v="14"/>
    <n v="468.28"/>
    <x v="0"/>
    <x v="7"/>
    <x v="3"/>
  </r>
  <r>
    <d v="2022-08-29T00:00:00"/>
    <x v="0"/>
    <x v="1"/>
    <x v="11"/>
    <n v="188.06"/>
    <x v="3"/>
    <x v="7"/>
    <x v="2"/>
  </r>
  <r>
    <d v="2022-06-03T00:00:00"/>
    <x v="1"/>
    <x v="0"/>
    <x v="18"/>
    <n v="48.71"/>
    <x v="1"/>
    <x v="3"/>
    <x v="5"/>
  </r>
  <r>
    <d v="2022-04-12T00:00:00"/>
    <x v="4"/>
    <x v="4"/>
    <x v="1"/>
    <n v="161.49"/>
    <x v="0"/>
    <x v="5"/>
    <x v="6"/>
  </r>
  <r>
    <d v="2022-02-16T00:00:00"/>
    <x v="1"/>
    <x v="1"/>
    <x v="3"/>
    <n v="120.28"/>
    <x v="3"/>
    <x v="0"/>
    <x v="3"/>
  </r>
  <r>
    <d v="2022-01-07T00:00:00"/>
    <x v="1"/>
    <x v="4"/>
    <x v="4"/>
    <n v="149.88999999999999"/>
    <x v="1"/>
    <x v="2"/>
    <x v="5"/>
  </r>
  <r>
    <d v="2022-08-06T00:00:00"/>
    <x v="5"/>
    <x v="5"/>
    <x v="11"/>
    <n v="128.33000000000001"/>
    <x v="0"/>
    <x v="7"/>
    <x v="1"/>
  </r>
  <r>
    <d v="2022-07-23T00:00:00"/>
    <x v="1"/>
    <x v="1"/>
    <x v="18"/>
    <n v="73.27"/>
    <x v="3"/>
    <x v="4"/>
    <x v="1"/>
  </r>
  <r>
    <d v="2022-08-01T00:00:00"/>
    <x v="3"/>
    <x v="3"/>
    <x v="3"/>
    <n v="103.86"/>
    <x v="4"/>
    <x v="7"/>
    <x v="2"/>
  </r>
  <r>
    <d v="2022-02-08T00:00:00"/>
    <x v="3"/>
    <x v="4"/>
    <x v="12"/>
    <n v="302.45999999999998"/>
    <x v="2"/>
    <x v="0"/>
    <x v="6"/>
  </r>
  <r>
    <d v="2022-08-28T00:00:00"/>
    <x v="6"/>
    <x v="6"/>
    <x v="5"/>
    <n v="52.5"/>
    <x v="4"/>
    <x v="7"/>
    <x v="0"/>
  </r>
  <r>
    <d v="2022-04-17T00:00:00"/>
    <x v="5"/>
    <x v="0"/>
    <x v="3"/>
    <n v="65.67"/>
    <x v="2"/>
    <x v="5"/>
    <x v="0"/>
  </r>
  <r>
    <d v="2022-01-05T00:00:00"/>
    <x v="4"/>
    <x v="6"/>
    <x v="7"/>
    <n v="247.43"/>
    <x v="3"/>
    <x v="2"/>
    <x v="3"/>
  </r>
  <r>
    <d v="2022-08-11T00:00:00"/>
    <x v="3"/>
    <x v="5"/>
    <x v="5"/>
    <n v="65.98"/>
    <x v="2"/>
    <x v="7"/>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0214E1-DFD2-4C3C-AA95-0477C1523A7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8">
    <pivotField numFmtId="14" showAll="0"/>
    <pivotField axis="axisRow" showAll="0">
      <items count="8">
        <item x="6"/>
        <item x="1"/>
        <item x="2"/>
        <item x="3"/>
        <item x="4"/>
        <item x="5"/>
        <item x="0"/>
        <item t="default"/>
      </items>
    </pivotField>
    <pivotField showAll="0"/>
    <pivotField dataField="1" showAll="0"/>
    <pivotField showAll="0"/>
    <pivotField showAll="0">
      <items count="6">
        <item x="0"/>
        <item x="1"/>
        <item x="4"/>
        <item x="2"/>
        <item x="3"/>
        <item t="default"/>
      </items>
    </pivotField>
    <pivotField showAll="0">
      <items count="9">
        <item x="2"/>
        <item x="0"/>
        <item x="1"/>
        <item x="5"/>
        <item x="6"/>
        <item x="3"/>
        <item x="4"/>
        <item x="7"/>
        <item t="default"/>
      </items>
    </pivotField>
    <pivotField showAll="0"/>
  </pivotFields>
  <rowFields count="1">
    <field x="1"/>
  </rowFields>
  <rowItems count="8">
    <i>
      <x/>
    </i>
    <i>
      <x v="1"/>
    </i>
    <i>
      <x v="2"/>
    </i>
    <i>
      <x v="3"/>
    </i>
    <i>
      <x v="4"/>
    </i>
    <i>
      <x v="5"/>
    </i>
    <i>
      <x v="6"/>
    </i>
    <i t="grand">
      <x/>
    </i>
  </rowItems>
  <colItems count="1">
    <i/>
  </colItems>
  <dataFields count="1">
    <dataField name="Sum of Boxes Shipped" fld="3" baseField="0" baseItem="0"/>
  </dataFields>
  <chartFormats count="3">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D31E64-25D9-4466-A6A5-1EF06CC37F1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8">
    <pivotField numFmtId="14" showAll="0"/>
    <pivotField axis="axisRow" showAll="0">
      <items count="8">
        <item x="6"/>
        <item x="1"/>
        <item x="2"/>
        <item x="3"/>
        <item x="4"/>
        <item x="5"/>
        <item x="0"/>
        <item t="default"/>
      </items>
    </pivotField>
    <pivotField showAll="0"/>
    <pivotField showAll="0"/>
    <pivotField dataField="1" showAll="0"/>
    <pivotField showAll="0">
      <items count="6">
        <item x="0"/>
        <item x="1"/>
        <item x="4"/>
        <item x="2"/>
        <item x="3"/>
        <item t="default"/>
      </items>
    </pivotField>
    <pivotField showAll="0">
      <items count="9">
        <item x="2"/>
        <item x="0"/>
        <item x="1"/>
        <item x="5"/>
        <item x="6"/>
        <item x="3"/>
        <item x="4"/>
        <item x="7"/>
        <item t="default"/>
      </items>
    </pivotField>
    <pivotField showAll="0"/>
  </pivotFields>
  <rowFields count="1">
    <field x="1"/>
  </rowFields>
  <rowItems count="8">
    <i>
      <x/>
    </i>
    <i>
      <x v="1"/>
    </i>
    <i>
      <x v="2"/>
    </i>
    <i>
      <x v="3"/>
    </i>
    <i>
      <x v="4"/>
    </i>
    <i>
      <x v="5"/>
    </i>
    <i>
      <x v="6"/>
    </i>
    <i t="grand">
      <x/>
    </i>
  </rowItems>
  <colItems count="1">
    <i/>
  </colItems>
  <dataFields count="1">
    <dataField name="Sum of Amount ($)" fld="4"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C9A3E8-3087-49B7-B7ED-7A71C5FD52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7">
    <pivotField numFmtId="14" showAll="0"/>
    <pivotField showAll="0"/>
    <pivotField showAll="0"/>
    <pivotField showAll="0"/>
    <pivotField dataField="1" showAll="0"/>
    <pivotField showAll="0"/>
    <pivotField axis="axisRow" showAll="0">
      <items count="9">
        <item x="2"/>
        <item x="0"/>
        <item x="1"/>
        <item x="5"/>
        <item x="6"/>
        <item x="3"/>
        <item x="4"/>
        <item x="7"/>
        <item t="default"/>
      </items>
    </pivotField>
  </pivotFields>
  <rowFields count="1">
    <field x="6"/>
  </rowFields>
  <rowItems count="9">
    <i>
      <x/>
    </i>
    <i>
      <x v="1"/>
    </i>
    <i>
      <x v="2"/>
    </i>
    <i>
      <x v="3"/>
    </i>
    <i>
      <x v="4"/>
    </i>
    <i>
      <x v="5"/>
    </i>
    <i>
      <x v="6"/>
    </i>
    <i>
      <x v="7"/>
    </i>
    <i t="grand">
      <x/>
    </i>
  </rowItems>
  <colItems count="1">
    <i/>
  </colItems>
  <dataFields count="1">
    <dataField name="Sum of Amount ($)" fld="4" baseField="0" baseItem="0" numFmtId="2"/>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F1FC1-820D-48FB-B197-CE37D44BFED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8">
    <pivotField numFmtId="14" showAll="0"/>
    <pivotField showAll="0">
      <items count="8">
        <item x="6"/>
        <item x="1"/>
        <item x="2"/>
        <item x="3"/>
        <item x="4"/>
        <item x="5"/>
        <item x="0"/>
        <item t="default"/>
      </items>
    </pivotField>
    <pivotField showAll="0"/>
    <pivotField showAll="0">
      <items count="21">
        <item x="15"/>
        <item x="2"/>
        <item x="5"/>
        <item x="18"/>
        <item x="3"/>
        <item x="19"/>
        <item x="0"/>
        <item x="4"/>
        <item x="11"/>
        <item x="16"/>
        <item x="8"/>
        <item x="9"/>
        <item x="6"/>
        <item x="10"/>
        <item x="12"/>
        <item x="17"/>
        <item x="7"/>
        <item x="1"/>
        <item x="14"/>
        <item x="13"/>
        <item t="default"/>
      </items>
    </pivotField>
    <pivotField dataField="1" showAll="0"/>
    <pivotField showAll="0">
      <items count="6">
        <item x="0"/>
        <item x="1"/>
        <item x="4"/>
        <item x="2"/>
        <item x="3"/>
        <item t="default"/>
      </items>
    </pivotField>
    <pivotField showAll="0">
      <items count="9">
        <item x="2"/>
        <item x="0"/>
        <item x="1"/>
        <item x="5"/>
        <item x="6"/>
        <item x="3"/>
        <item x="4"/>
        <item x="7"/>
        <item t="default"/>
      </items>
    </pivotField>
    <pivotField axis="axisRow" showAll="0">
      <items count="8">
        <item x="0"/>
        <item x="2"/>
        <item x="6"/>
        <item x="3"/>
        <item x="4"/>
        <item x="5"/>
        <item x="1"/>
        <item t="default"/>
      </items>
    </pivotField>
  </pivotFields>
  <rowFields count="1">
    <field x="7"/>
  </rowFields>
  <rowItems count="8">
    <i>
      <x/>
    </i>
    <i>
      <x v="1"/>
    </i>
    <i>
      <x v="2"/>
    </i>
    <i>
      <x v="3"/>
    </i>
    <i>
      <x v="4"/>
    </i>
    <i>
      <x v="5"/>
    </i>
    <i>
      <x v="6"/>
    </i>
    <i t="grand">
      <x/>
    </i>
  </rowItems>
  <colItems count="1">
    <i/>
  </colItems>
  <dataFields count="1">
    <dataField name="Sum of Amount ($)" fld="4"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E270A8-6D0B-410B-A769-1DB090E4F96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8">
    <pivotField numFmtId="14" showAll="0"/>
    <pivotField showAll="0">
      <items count="8">
        <item x="6"/>
        <item x="1"/>
        <item x="2"/>
        <item x="3"/>
        <item x="4"/>
        <item x="5"/>
        <item x="0"/>
        <item t="default"/>
      </items>
    </pivotField>
    <pivotField showAll="0"/>
    <pivotField dataField="1" showAll="0"/>
    <pivotField showAll="0"/>
    <pivotField axis="axisRow" showAll="0">
      <items count="6">
        <item x="0"/>
        <item x="1"/>
        <item x="4"/>
        <item x="2"/>
        <item x="3"/>
        <item t="default"/>
      </items>
    </pivotField>
    <pivotField showAll="0">
      <items count="9">
        <item x="2"/>
        <item x="0"/>
        <item x="1"/>
        <item x="5"/>
        <item x="6"/>
        <item x="3"/>
        <item x="4"/>
        <item x="7"/>
        <item t="default"/>
      </items>
    </pivotField>
    <pivotField showAll="0"/>
  </pivotFields>
  <rowFields count="1">
    <field x="5"/>
  </rowFields>
  <rowItems count="6">
    <i>
      <x/>
    </i>
    <i>
      <x v="1"/>
    </i>
    <i>
      <x v="2"/>
    </i>
    <i>
      <x v="3"/>
    </i>
    <i>
      <x v="4"/>
    </i>
    <i t="grand">
      <x/>
    </i>
  </rowItems>
  <colItems count="1">
    <i/>
  </colItems>
  <dataFields count="1">
    <dataField name="Sum of Boxes Shipped" fld="3" baseField="0" baseItem="0"/>
  </dataFields>
  <chartFormats count="1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5" count="1" selected="0">
            <x v="0"/>
          </reference>
        </references>
      </pivotArea>
    </chartFormat>
    <chartFormat chart="6" format="14">
      <pivotArea type="data" outline="0" fieldPosition="0">
        <references count="2">
          <reference field="4294967294" count="1" selected="0">
            <x v="0"/>
          </reference>
          <reference field="5" count="1" selected="0">
            <x v="1"/>
          </reference>
        </references>
      </pivotArea>
    </chartFormat>
    <chartFormat chart="6" format="15">
      <pivotArea type="data" outline="0" fieldPosition="0">
        <references count="2">
          <reference field="4294967294" count="1" selected="0">
            <x v="0"/>
          </reference>
          <reference field="5" count="1" selected="0">
            <x v="2"/>
          </reference>
        </references>
      </pivotArea>
    </chartFormat>
    <chartFormat chart="6" format="16">
      <pivotArea type="data" outline="0" fieldPosition="0">
        <references count="2">
          <reference field="4294967294" count="1" selected="0">
            <x v="0"/>
          </reference>
          <reference field="5" count="1" selected="0">
            <x v="3"/>
          </reference>
        </references>
      </pivotArea>
    </chartFormat>
    <chartFormat chart="6" format="17">
      <pivotArea type="data" outline="0" fieldPosition="0">
        <references count="2">
          <reference field="4294967294" count="1" selected="0">
            <x v="0"/>
          </reference>
          <reference field="5"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5" count="1" selected="0">
            <x v="0"/>
          </reference>
        </references>
      </pivotArea>
    </chartFormat>
    <chartFormat chart="9" format="26">
      <pivotArea type="data" outline="0" fieldPosition="0">
        <references count="2">
          <reference field="4294967294" count="1" selected="0">
            <x v="0"/>
          </reference>
          <reference field="5" count="1" selected="0">
            <x v="1"/>
          </reference>
        </references>
      </pivotArea>
    </chartFormat>
    <chartFormat chart="9" format="27">
      <pivotArea type="data" outline="0" fieldPosition="0">
        <references count="2">
          <reference field="4294967294" count="1" selected="0">
            <x v="0"/>
          </reference>
          <reference field="5" count="1" selected="0">
            <x v="2"/>
          </reference>
        </references>
      </pivotArea>
    </chartFormat>
    <chartFormat chart="9" format="28">
      <pivotArea type="data" outline="0" fieldPosition="0">
        <references count="2">
          <reference field="4294967294" count="1" selected="0">
            <x v="0"/>
          </reference>
          <reference field="5" count="1" selected="0">
            <x v="3"/>
          </reference>
        </references>
      </pivotArea>
    </chartFormat>
    <chartFormat chart="9" format="2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A7DD41-FEAD-4600-A753-B6A9E68CB20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8">
    <pivotField numFmtId="14" showAll="0"/>
    <pivotField showAll="0">
      <items count="8">
        <item x="6"/>
        <item x="1"/>
        <item x="2"/>
        <item x="3"/>
        <item x="4"/>
        <item x="5"/>
        <item x="0"/>
        <item t="default"/>
      </items>
    </pivotField>
    <pivotField axis="axisRow" showAll="0">
      <items count="8">
        <item x="6"/>
        <item x="0"/>
        <item x="1"/>
        <item x="3"/>
        <item x="5"/>
        <item x="2"/>
        <item x="4"/>
        <item t="default"/>
      </items>
    </pivotField>
    <pivotField showAll="0"/>
    <pivotField dataField="1" showAll="0"/>
    <pivotField showAll="0">
      <items count="6">
        <item x="0"/>
        <item x="1"/>
        <item x="4"/>
        <item x="2"/>
        <item x="3"/>
        <item t="default"/>
      </items>
    </pivotField>
    <pivotField showAll="0">
      <items count="9">
        <item x="2"/>
        <item x="0"/>
        <item x="1"/>
        <item x="5"/>
        <item x="6"/>
        <item x="3"/>
        <item x="4"/>
        <item x="7"/>
        <item t="default"/>
      </items>
    </pivotField>
    <pivotField showAll="0"/>
  </pivotFields>
  <rowFields count="1">
    <field x="2"/>
  </rowFields>
  <rowItems count="8">
    <i>
      <x/>
    </i>
    <i>
      <x v="1"/>
    </i>
    <i>
      <x v="2"/>
    </i>
    <i>
      <x v="3"/>
    </i>
    <i>
      <x v="4"/>
    </i>
    <i>
      <x v="5"/>
    </i>
    <i>
      <x v="6"/>
    </i>
    <i t="grand">
      <x/>
    </i>
  </rowItems>
  <colItems count="1">
    <i/>
  </colItems>
  <dataFields count="1">
    <dataField name="Sum of Amount ($)" fld="4" baseField="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285EA0D-62DD-4BA9-AD7D-A9AEAE959C35}" sourceName="Product">
  <pivotTables>
    <pivotTable tabId="3" name="PivotTable1"/>
    <pivotTable tabId="6" name="PivotTable5"/>
    <pivotTable tabId="7" name="PivotTable6"/>
    <pivotTable tabId="9" name="PivotTable1"/>
    <pivotTable tabId="5" name="PivotTable4"/>
  </pivotTables>
  <data>
    <tabular pivotCacheId="1815464921">
      <items count="7">
        <i x="6" s="1"/>
        <i x="1" s="1"/>
        <i x="2" s="1"/>
        <i x="3" s="1"/>
        <i x="4"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A426DAB-C07D-40FA-A82B-C20A5B5694F0}" sourceName="Country">
  <pivotTables>
    <pivotTable tabId="3" name="PivotTable1"/>
    <pivotTable tabId="6" name="PivotTable5"/>
    <pivotTable tabId="7" name="PivotTable6"/>
    <pivotTable tabId="9" name="PivotTable1"/>
    <pivotTable tabId="5" name="PivotTable4"/>
  </pivotTables>
  <data>
    <tabular pivotCacheId="1815464921">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6096A58-7ACB-4B3D-B962-5AAF158BCF6A}" sourceName="Month">
  <pivotTables>
    <pivotTable tabId="3" name="PivotTable1"/>
    <pivotTable tabId="6" name="PivotTable5"/>
    <pivotTable tabId="7" name="PivotTable6"/>
    <pivotTable tabId="9" name="PivotTable1"/>
    <pivotTable tabId="5" name="PivotTable4"/>
  </pivotTables>
  <data>
    <tabular pivotCacheId="1815464921">
      <items count="8">
        <i x="2" s="1"/>
        <i x="0" s="1"/>
        <i x="1" s="1"/>
        <i x="5" s="1"/>
        <i x="6" s="1"/>
        <i x="3"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96E8BBB-5558-4D2B-B59B-341A7EE10E66}" cache="Slicer_Product" caption="Product" style="SlicerStyleLight2" rowHeight="234950"/>
  <slicer name="Country" xr10:uid="{C544C93A-42E8-4D29-97AC-89B3529FE565}" cache="Slicer_Country" caption="Country" style="SlicerStyleLight2" rowHeight="234950"/>
  <slicer name="Month" xr10:uid="{EDA4A9EC-DA5E-4F5D-8632-33945F53FA7E}" cache="Slicer_Month" caption="Month"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1CC43-6F47-45A2-9603-7270AF3DAE76}">
  <dimension ref="A1:H334"/>
  <sheetViews>
    <sheetView topLeftCell="A308" workbookViewId="0">
      <selection activeCell="E5" sqref="E5"/>
    </sheetView>
  </sheetViews>
  <sheetFormatPr defaultRowHeight="14.4" x14ac:dyDescent="0.3"/>
  <cols>
    <col min="8" max="8" width="10.44140625" bestFit="1" customWidth="1"/>
  </cols>
  <sheetData>
    <row r="1" spans="1:8" x14ac:dyDescent="0.3">
      <c r="A1" t="s">
        <v>0</v>
      </c>
      <c r="B1" t="s">
        <v>1</v>
      </c>
      <c r="C1" t="s">
        <v>2</v>
      </c>
      <c r="D1" t="s">
        <v>3</v>
      </c>
      <c r="E1" t="s">
        <v>4</v>
      </c>
      <c r="F1" t="s">
        <v>5</v>
      </c>
      <c r="G1" t="s">
        <v>25</v>
      </c>
      <c r="H1" t="s">
        <v>37</v>
      </c>
    </row>
    <row r="2" spans="1:8" x14ac:dyDescent="0.3">
      <c r="A2" s="1">
        <v>44598</v>
      </c>
      <c r="B2" t="s">
        <v>6</v>
      </c>
      <c r="C2" t="s">
        <v>7</v>
      </c>
      <c r="D2">
        <v>7</v>
      </c>
      <c r="E2">
        <v>67.430000000000007</v>
      </c>
      <c r="F2" t="s">
        <v>8</v>
      </c>
      <c r="G2" t="str">
        <f>TEXT(A2,"mmmm")</f>
        <v>February</v>
      </c>
      <c r="H2" t="str">
        <f>TEXT(A2,"dddd")</f>
        <v>Sunday</v>
      </c>
    </row>
    <row r="3" spans="1:8" x14ac:dyDescent="0.3">
      <c r="A3" s="1">
        <v>44597</v>
      </c>
      <c r="B3" t="s">
        <v>9</v>
      </c>
      <c r="C3" t="s">
        <v>10</v>
      </c>
      <c r="D3">
        <v>18</v>
      </c>
      <c r="E3">
        <v>421.46</v>
      </c>
      <c r="F3" t="s">
        <v>11</v>
      </c>
      <c r="G3" t="str">
        <f t="shared" ref="G3:G66" si="0">TEXT(A3,"mmmm")</f>
        <v>February</v>
      </c>
      <c r="H3" t="str">
        <f t="shared" ref="H3:H66" si="1">TEXT(A3,"dddd")</f>
        <v>Saturday</v>
      </c>
    </row>
    <row r="4" spans="1:8" x14ac:dyDescent="0.3">
      <c r="A4" s="1">
        <v>44611</v>
      </c>
      <c r="B4" t="s">
        <v>12</v>
      </c>
      <c r="C4" t="s">
        <v>13</v>
      </c>
      <c r="D4">
        <v>2</v>
      </c>
      <c r="E4">
        <v>48.25</v>
      </c>
      <c r="F4" t="s">
        <v>14</v>
      </c>
      <c r="G4" t="str">
        <f t="shared" si="0"/>
        <v>February</v>
      </c>
      <c r="H4" t="str">
        <f t="shared" si="1"/>
        <v>Saturday</v>
      </c>
    </row>
    <row r="5" spans="1:8" x14ac:dyDescent="0.3">
      <c r="A5" s="1">
        <v>44648</v>
      </c>
      <c r="B5" t="s">
        <v>6</v>
      </c>
      <c r="C5" t="s">
        <v>10</v>
      </c>
      <c r="D5">
        <v>5</v>
      </c>
      <c r="E5">
        <v>59.89</v>
      </c>
      <c r="F5" t="s">
        <v>14</v>
      </c>
      <c r="G5" t="str">
        <f t="shared" si="0"/>
        <v>March</v>
      </c>
      <c r="H5" t="str">
        <f t="shared" si="1"/>
        <v>Monday</v>
      </c>
    </row>
    <row r="6" spans="1:8" x14ac:dyDescent="0.3">
      <c r="A6" s="1">
        <v>44578</v>
      </c>
      <c r="B6" t="s">
        <v>15</v>
      </c>
      <c r="C6" t="s">
        <v>13</v>
      </c>
      <c r="D6">
        <v>8</v>
      </c>
      <c r="E6">
        <v>147.72999999999999</v>
      </c>
      <c r="F6" t="s">
        <v>16</v>
      </c>
      <c r="G6" t="str">
        <f t="shared" si="0"/>
        <v>January</v>
      </c>
      <c r="H6" t="str">
        <f t="shared" si="1"/>
        <v>Monday</v>
      </c>
    </row>
    <row r="7" spans="1:8" x14ac:dyDescent="0.3">
      <c r="A7" s="1">
        <v>44601</v>
      </c>
      <c r="B7" t="s">
        <v>15</v>
      </c>
      <c r="C7" t="s">
        <v>13</v>
      </c>
      <c r="D7">
        <v>18</v>
      </c>
      <c r="E7">
        <v>400.87</v>
      </c>
      <c r="F7" t="s">
        <v>16</v>
      </c>
      <c r="G7" t="str">
        <f t="shared" si="0"/>
        <v>February</v>
      </c>
      <c r="H7" t="str">
        <f t="shared" si="1"/>
        <v>Wednesday</v>
      </c>
    </row>
    <row r="8" spans="1:8" x14ac:dyDescent="0.3">
      <c r="A8" s="1">
        <v>44742</v>
      </c>
      <c r="B8" t="s">
        <v>9</v>
      </c>
      <c r="C8" t="s">
        <v>10</v>
      </c>
      <c r="D8">
        <v>3</v>
      </c>
      <c r="E8">
        <v>50.35</v>
      </c>
      <c r="F8" t="s">
        <v>8</v>
      </c>
      <c r="G8" t="str">
        <f t="shared" si="0"/>
        <v>June</v>
      </c>
      <c r="H8" t="str">
        <f t="shared" si="1"/>
        <v>Thursday</v>
      </c>
    </row>
    <row r="9" spans="1:8" x14ac:dyDescent="0.3">
      <c r="A9" s="1">
        <v>44767</v>
      </c>
      <c r="B9" t="s">
        <v>17</v>
      </c>
      <c r="C9" t="s">
        <v>13</v>
      </c>
      <c r="D9">
        <v>13</v>
      </c>
      <c r="E9">
        <v>282.43</v>
      </c>
      <c r="F9" t="s">
        <v>16</v>
      </c>
      <c r="G9" t="str">
        <f t="shared" si="0"/>
        <v>July</v>
      </c>
      <c r="H9" t="str">
        <f t="shared" si="1"/>
        <v>Monday</v>
      </c>
    </row>
    <row r="10" spans="1:8" x14ac:dyDescent="0.3">
      <c r="A10" s="1">
        <v>44640</v>
      </c>
      <c r="B10" t="s">
        <v>18</v>
      </c>
      <c r="C10" t="s">
        <v>19</v>
      </c>
      <c r="D10">
        <v>17</v>
      </c>
      <c r="E10">
        <v>394.01</v>
      </c>
      <c r="F10" t="s">
        <v>14</v>
      </c>
      <c r="G10" t="str">
        <f t="shared" si="0"/>
        <v>March</v>
      </c>
      <c r="H10" t="str">
        <f t="shared" si="1"/>
        <v>Sunday</v>
      </c>
    </row>
    <row r="11" spans="1:8" x14ac:dyDescent="0.3">
      <c r="A11" s="1">
        <v>44585</v>
      </c>
      <c r="B11" t="s">
        <v>9</v>
      </c>
      <c r="C11" t="s">
        <v>20</v>
      </c>
      <c r="D11">
        <v>7</v>
      </c>
      <c r="E11">
        <v>89.29</v>
      </c>
      <c r="F11" t="s">
        <v>8</v>
      </c>
      <c r="G11" t="str">
        <f t="shared" si="0"/>
        <v>January</v>
      </c>
      <c r="H11" t="str">
        <f t="shared" si="1"/>
        <v>Monday</v>
      </c>
    </row>
    <row r="12" spans="1:8" x14ac:dyDescent="0.3">
      <c r="A12" s="1">
        <v>44678</v>
      </c>
      <c r="B12" t="s">
        <v>12</v>
      </c>
      <c r="C12" t="s">
        <v>7</v>
      </c>
      <c r="D12">
        <v>11</v>
      </c>
      <c r="E12">
        <v>150.72999999999999</v>
      </c>
      <c r="F12" t="s">
        <v>11</v>
      </c>
      <c r="G12" t="str">
        <f t="shared" si="0"/>
        <v>April</v>
      </c>
      <c r="H12" t="str">
        <f t="shared" si="1"/>
        <v>Wednesday</v>
      </c>
    </row>
    <row r="13" spans="1:8" x14ac:dyDescent="0.3">
      <c r="A13" s="1">
        <v>44610</v>
      </c>
      <c r="B13" t="s">
        <v>6</v>
      </c>
      <c r="C13" t="s">
        <v>13</v>
      </c>
      <c r="D13">
        <v>5</v>
      </c>
      <c r="E13">
        <v>63.41</v>
      </c>
      <c r="F13" t="s">
        <v>16</v>
      </c>
      <c r="G13" t="str">
        <f t="shared" si="0"/>
        <v>February</v>
      </c>
      <c r="H13" t="str">
        <f t="shared" si="1"/>
        <v>Friday</v>
      </c>
    </row>
    <row r="14" spans="1:8" x14ac:dyDescent="0.3">
      <c r="A14" s="1">
        <v>44738</v>
      </c>
      <c r="B14" t="s">
        <v>6</v>
      </c>
      <c r="C14" t="s">
        <v>7</v>
      </c>
      <c r="D14">
        <v>18</v>
      </c>
      <c r="E14">
        <v>175.89</v>
      </c>
      <c r="F14" t="s">
        <v>16</v>
      </c>
      <c r="G14" t="str">
        <f t="shared" si="0"/>
        <v>June</v>
      </c>
      <c r="H14" t="str">
        <f t="shared" si="1"/>
        <v>Sunday</v>
      </c>
    </row>
    <row r="15" spans="1:8" x14ac:dyDescent="0.3">
      <c r="A15" s="1">
        <v>44731</v>
      </c>
      <c r="B15" t="s">
        <v>18</v>
      </c>
      <c r="C15" t="s">
        <v>19</v>
      </c>
      <c r="D15">
        <v>18</v>
      </c>
      <c r="E15">
        <v>296.97000000000003</v>
      </c>
      <c r="F15" t="s">
        <v>8</v>
      </c>
      <c r="G15" t="str">
        <f t="shared" si="0"/>
        <v>June</v>
      </c>
      <c r="H15" t="str">
        <f t="shared" si="1"/>
        <v>Sunday</v>
      </c>
    </row>
    <row r="16" spans="1:8" x14ac:dyDescent="0.3">
      <c r="A16" s="1">
        <v>44715</v>
      </c>
      <c r="B16" t="s">
        <v>12</v>
      </c>
      <c r="C16" t="s">
        <v>13</v>
      </c>
      <c r="D16">
        <v>12</v>
      </c>
      <c r="E16">
        <v>177.75</v>
      </c>
      <c r="F16" t="s">
        <v>16</v>
      </c>
      <c r="G16" t="str">
        <f t="shared" si="0"/>
        <v>June</v>
      </c>
      <c r="H16" t="str">
        <f t="shared" si="1"/>
        <v>Friday</v>
      </c>
    </row>
    <row r="17" spans="1:8" x14ac:dyDescent="0.3">
      <c r="A17" s="1">
        <v>44656</v>
      </c>
      <c r="B17" t="s">
        <v>12</v>
      </c>
      <c r="C17" t="s">
        <v>10</v>
      </c>
      <c r="D17">
        <v>14</v>
      </c>
      <c r="E17">
        <v>285.08999999999997</v>
      </c>
      <c r="F17" t="s">
        <v>11</v>
      </c>
      <c r="G17" t="str">
        <f t="shared" si="0"/>
        <v>April</v>
      </c>
      <c r="H17" t="str">
        <f t="shared" si="1"/>
        <v>Tuesday</v>
      </c>
    </row>
    <row r="18" spans="1:8" x14ac:dyDescent="0.3">
      <c r="A18" s="1">
        <v>44668</v>
      </c>
      <c r="B18" t="s">
        <v>6</v>
      </c>
      <c r="C18" t="s">
        <v>13</v>
      </c>
      <c r="D18">
        <v>12</v>
      </c>
      <c r="E18">
        <v>277.22000000000003</v>
      </c>
      <c r="F18" t="s">
        <v>8</v>
      </c>
      <c r="G18" t="str">
        <f t="shared" si="0"/>
        <v>April</v>
      </c>
      <c r="H18" t="str">
        <f t="shared" si="1"/>
        <v>Sunday</v>
      </c>
    </row>
    <row r="19" spans="1:8" x14ac:dyDescent="0.3">
      <c r="A19" s="1">
        <v>44603</v>
      </c>
      <c r="B19" t="s">
        <v>18</v>
      </c>
      <c r="C19" t="s">
        <v>19</v>
      </c>
      <c r="D19">
        <v>17</v>
      </c>
      <c r="E19">
        <v>175.18</v>
      </c>
      <c r="F19" t="s">
        <v>11</v>
      </c>
      <c r="G19" t="str">
        <f t="shared" si="0"/>
        <v>February</v>
      </c>
      <c r="H19" t="str">
        <f t="shared" si="1"/>
        <v>Friday</v>
      </c>
    </row>
    <row r="20" spans="1:8" x14ac:dyDescent="0.3">
      <c r="A20" s="1">
        <v>44579</v>
      </c>
      <c r="B20" t="s">
        <v>9</v>
      </c>
      <c r="C20" t="s">
        <v>13</v>
      </c>
      <c r="D20">
        <v>12</v>
      </c>
      <c r="E20">
        <v>192.16</v>
      </c>
      <c r="F20" t="s">
        <v>8</v>
      </c>
      <c r="G20" t="str">
        <f t="shared" si="0"/>
        <v>January</v>
      </c>
      <c r="H20" t="str">
        <f t="shared" si="1"/>
        <v>Tuesday</v>
      </c>
    </row>
    <row r="21" spans="1:8" x14ac:dyDescent="0.3">
      <c r="A21" s="1">
        <v>44711</v>
      </c>
      <c r="B21" t="s">
        <v>21</v>
      </c>
      <c r="C21" t="s">
        <v>10</v>
      </c>
      <c r="D21">
        <v>9</v>
      </c>
      <c r="E21">
        <v>123.12</v>
      </c>
      <c r="F21" t="s">
        <v>22</v>
      </c>
      <c r="G21" t="str">
        <f t="shared" si="0"/>
        <v>May</v>
      </c>
      <c r="H21" t="str">
        <f t="shared" si="1"/>
        <v>Monday</v>
      </c>
    </row>
    <row r="22" spans="1:8" x14ac:dyDescent="0.3">
      <c r="A22" s="1">
        <v>44730</v>
      </c>
      <c r="B22" t="s">
        <v>6</v>
      </c>
      <c r="C22" t="s">
        <v>7</v>
      </c>
      <c r="D22">
        <v>15</v>
      </c>
      <c r="E22">
        <v>238.86</v>
      </c>
      <c r="F22" t="s">
        <v>8</v>
      </c>
      <c r="G22" t="str">
        <f t="shared" si="0"/>
        <v>June</v>
      </c>
      <c r="H22" t="str">
        <f t="shared" si="1"/>
        <v>Saturday</v>
      </c>
    </row>
    <row r="23" spans="1:8" x14ac:dyDescent="0.3">
      <c r="A23" s="1">
        <v>44748</v>
      </c>
      <c r="B23" t="s">
        <v>17</v>
      </c>
      <c r="C23" t="s">
        <v>20</v>
      </c>
      <c r="D23">
        <v>20</v>
      </c>
      <c r="E23">
        <v>272.37</v>
      </c>
      <c r="F23" t="s">
        <v>14</v>
      </c>
      <c r="G23" t="str">
        <f t="shared" si="0"/>
        <v>July</v>
      </c>
      <c r="H23" t="str">
        <f t="shared" si="1"/>
        <v>Wednesday</v>
      </c>
    </row>
    <row r="24" spans="1:8" x14ac:dyDescent="0.3">
      <c r="A24" s="1">
        <v>44706</v>
      </c>
      <c r="B24" t="s">
        <v>21</v>
      </c>
      <c r="C24" t="s">
        <v>23</v>
      </c>
      <c r="D24">
        <v>8</v>
      </c>
      <c r="E24">
        <v>82.86</v>
      </c>
      <c r="F24" t="s">
        <v>16</v>
      </c>
      <c r="G24" t="str">
        <f t="shared" si="0"/>
        <v>May</v>
      </c>
      <c r="H24" t="str">
        <f t="shared" si="1"/>
        <v>Wednesday</v>
      </c>
    </row>
    <row r="25" spans="1:8" x14ac:dyDescent="0.3">
      <c r="A25" s="1">
        <v>44677</v>
      </c>
      <c r="B25" t="s">
        <v>17</v>
      </c>
      <c r="C25" t="s">
        <v>24</v>
      </c>
      <c r="D25">
        <v>19</v>
      </c>
      <c r="E25">
        <v>447.21</v>
      </c>
      <c r="F25" t="s">
        <v>22</v>
      </c>
      <c r="G25" t="str">
        <f t="shared" si="0"/>
        <v>April</v>
      </c>
      <c r="H25" t="str">
        <f t="shared" si="1"/>
        <v>Tuesday</v>
      </c>
    </row>
    <row r="26" spans="1:8" x14ac:dyDescent="0.3">
      <c r="A26" s="1">
        <v>44738</v>
      </c>
      <c r="B26" t="s">
        <v>17</v>
      </c>
      <c r="C26" t="s">
        <v>19</v>
      </c>
      <c r="D26">
        <v>1</v>
      </c>
      <c r="E26">
        <v>9.98</v>
      </c>
      <c r="F26" t="s">
        <v>11</v>
      </c>
      <c r="G26" t="str">
        <f t="shared" si="0"/>
        <v>June</v>
      </c>
      <c r="H26" t="str">
        <f t="shared" si="1"/>
        <v>Sunday</v>
      </c>
    </row>
    <row r="27" spans="1:8" x14ac:dyDescent="0.3">
      <c r="A27" s="1">
        <v>44743</v>
      </c>
      <c r="B27" t="s">
        <v>6</v>
      </c>
      <c r="C27" t="s">
        <v>23</v>
      </c>
      <c r="D27">
        <v>5</v>
      </c>
      <c r="E27">
        <v>101.4</v>
      </c>
      <c r="F27" t="s">
        <v>22</v>
      </c>
      <c r="G27" t="str">
        <f t="shared" si="0"/>
        <v>July</v>
      </c>
      <c r="H27" t="str">
        <f t="shared" si="1"/>
        <v>Friday</v>
      </c>
    </row>
    <row r="28" spans="1:8" x14ac:dyDescent="0.3">
      <c r="A28" s="1">
        <v>44801</v>
      </c>
      <c r="B28" t="s">
        <v>15</v>
      </c>
      <c r="C28" t="s">
        <v>20</v>
      </c>
      <c r="D28">
        <v>13</v>
      </c>
      <c r="E28">
        <v>206.79</v>
      </c>
      <c r="F28" t="s">
        <v>22</v>
      </c>
      <c r="G28" t="str">
        <f t="shared" si="0"/>
        <v>August</v>
      </c>
      <c r="H28" t="str">
        <f t="shared" si="1"/>
        <v>Sunday</v>
      </c>
    </row>
    <row r="29" spans="1:8" x14ac:dyDescent="0.3">
      <c r="A29" s="1">
        <v>44750</v>
      </c>
      <c r="B29" t="s">
        <v>21</v>
      </c>
      <c r="C29" t="s">
        <v>24</v>
      </c>
      <c r="D29">
        <v>11</v>
      </c>
      <c r="E29">
        <v>153.08000000000001</v>
      </c>
      <c r="F29" t="s">
        <v>14</v>
      </c>
      <c r="G29" t="str">
        <f t="shared" si="0"/>
        <v>July</v>
      </c>
      <c r="H29" t="str">
        <f t="shared" si="1"/>
        <v>Friday</v>
      </c>
    </row>
    <row r="30" spans="1:8" x14ac:dyDescent="0.3">
      <c r="A30" s="1">
        <v>44595</v>
      </c>
      <c r="B30" t="s">
        <v>15</v>
      </c>
      <c r="C30" t="s">
        <v>24</v>
      </c>
      <c r="D30">
        <v>18</v>
      </c>
      <c r="E30">
        <v>411.44</v>
      </c>
      <c r="F30" t="s">
        <v>16</v>
      </c>
      <c r="G30" t="str">
        <f t="shared" si="0"/>
        <v>February</v>
      </c>
      <c r="H30" t="str">
        <f t="shared" si="1"/>
        <v>Thursday</v>
      </c>
    </row>
    <row r="31" spans="1:8" x14ac:dyDescent="0.3">
      <c r="A31" s="1">
        <v>44637</v>
      </c>
      <c r="B31" t="s">
        <v>21</v>
      </c>
      <c r="C31" t="s">
        <v>23</v>
      </c>
      <c r="D31">
        <v>5</v>
      </c>
      <c r="E31">
        <v>46.92</v>
      </c>
      <c r="F31" t="s">
        <v>11</v>
      </c>
      <c r="G31" t="str">
        <f t="shared" si="0"/>
        <v>March</v>
      </c>
      <c r="H31" t="str">
        <f t="shared" si="1"/>
        <v>Thursday</v>
      </c>
    </row>
    <row r="32" spans="1:8" x14ac:dyDescent="0.3">
      <c r="A32" s="1">
        <v>44737</v>
      </c>
      <c r="B32" t="s">
        <v>12</v>
      </c>
      <c r="C32" t="s">
        <v>7</v>
      </c>
      <c r="D32">
        <v>3</v>
      </c>
      <c r="E32">
        <v>42.85</v>
      </c>
      <c r="F32" t="s">
        <v>14</v>
      </c>
      <c r="G32" t="str">
        <f t="shared" si="0"/>
        <v>June</v>
      </c>
      <c r="H32" t="str">
        <f t="shared" si="1"/>
        <v>Saturday</v>
      </c>
    </row>
    <row r="33" spans="1:8" x14ac:dyDescent="0.3">
      <c r="A33" s="1">
        <v>44723</v>
      </c>
      <c r="B33" t="s">
        <v>17</v>
      </c>
      <c r="C33" t="s">
        <v>19</v>
      </c>
      <c r="D33">
        <v>2</v>
      </c>
      <c r="E33">
        <v>40.17</v>
      </c>
      <c r="F33" t="s">
        <v>14</v>
      </c>
      <c r="G33" t="str">
        <f t="shared" si="0"/>
        <v>June</v>
      </c>
      <c r="H33" t="str">
        <f t="shared" si="1"/>
        <v>Saturday</v>
      </c>
    </row>
    <row r="34" spans="1:8" x14ac:dyDescent="0.3">
      <c r="A34" s="1">
        <v>44649</v>
      </c>
      <c r="B34" t="s">
        <v>9</v>
      </c>
      <c r="C34" t="s">
        <v>23</v>
      </c>
      <c r="D34">
        <v>13</v>
      </c>
      <c r="E34">
        <v>243.79</v>
      </c>
      <c r="F34" t="s">
        <v>11</v>
      </c>
      <c r="G34" t="str">
        <f t="shared" si="0"/>
        <v>March</v>
      </c>
      <c r="H34" t="str">
        <f t="shared" si="1"/>
        <v>Tuesday</v>
      </c>
    </row>
    <row r="35" spans="1:8" x14ac:dyDescent="0.3">
      <c r="A35" s="1">
        <v>44646</v>
      </c>
      <c r="B35" t="s">
        <v>9</v>
      </c>
      <c r="C35" t="s">
        <v>19</v>
      </c>
      <c r="D35">
        <v>2</v>
      </c>
      <c r="E35">
        <v>44.86</v>
      </c>
      <c r="F35" t="s">
        <v>14</v>
      </c>
      <c r="G35" t="str">
        <f t="shared" si="0"/>
        <v>March</v>
      </c>
      <c r="H35" t="str">
        <f t="shared" si="1"/>
        <v>Saturday</v>
      </c>
    </row>
    <row r="36" spans="1:8" x14ac:dyDescent="0.3">
      <c r="A36" s="1">
        <v>44757</v>
      </c>
      <c r="B36" t="s">
        <v>15</v>
      </c>
      <c r="C36" t="s">
        <v>10</v>
      </c>
      <c r="D36">
        <v>19</v>
      </c>
      <c r="E36">
        <v>288.39999999999998</v>
      </c>
      <c r="F36" t="s">
        <v>14</v>
      </c>
      <c r="G36" t="str">
        <f t="shared" si="0"/>
        <v>July</v>
      </c>
      <c r="H36" t="str">
        <f t="shared" si="1"/>
        <v>Friday</v>
      </c>
    </row>
    <row r="37" spans="1:8" x14ac:dyDescent="0.3">
      <c r="A37" s="1">
        <v>44758</v>
      </c>
      <c r="B37" t="s">
        <v>12</v>
      </c>
      <c r="C37" t="s">
        <v>24</v>
      </c>
      <c r="D37">
        <v>9</v>
      </c>
      <c r="E37">
        <v>137.02000000000001</v>
      </c>
      <c r="F37" t="s">
        <v>22</v>
      </c>
      <c r="G37" t="str">
        <f t="shared" si="0"/>
        <v>July</v>
      </c>
      <c r="H37" t="str">
        <f t="shared" si="1"/>
        <v>Saturday</v>
      </c>
    </row>
    <row r="38" spans="1:8" x14ac:dyDescent="0.3">
      <c r="A38" s="1">
        <v>44684</v>
      </c>
      <c r="B38" t="s">
        <v>9</v>
      </c>
      <c r="C38" t="s">
        <v>19</v>
      </c>
      <c r="D38">
        <v>11</v>
      </c>
      <c r="E38">
        <v>228.69</v>
      </c>
      <c r="F38" t="s">
        <v>22</v>
      </c>
      <c r="G38" t="str">
        <f t="shared" si="0"/>
        <v>May</v>
      </c>
      <c r="H38" t="str">
        <f t="shared" si="1"/>
        <v>Tuesday</v>
      </c>
    </row>
    <row r="39" spans="1:8" x14ac:dyDescent="0.3">
      <c r="A39" s="1">
        <v>44729</v>
      </c>
      <c r="B39" t="s">
        <v>15</v>
      </c>
      <c r="C39" t="s">
        <v>23</v>
      </c>
      <c r="D39">
        <v>14</v>
      </c>
      <c r="E39">
        <v>287.52999999999997</v>
      </c>
      <c r="F39" t="s">
        <v>16</v>
      </c>
      <c r="G39" t="str">
        <f t="shared" si="0"/>
        <v>June</v>
      </c>
      <c r="H39" t="str">
        <f t="shared" si="1"/>
        <v>Friday</v>
      </c>
    </row>
    <row r="40" spans="1:8" x14ac:dyDescent="0.3">
      <c r="A40" s="1">
        <v>44664</v>
      </c>
      <c r="B40" t="s">
        <v>15</v>
      </c>
      <c r="C40" t="s">
        <v>23</v>
      </c>
      <c r="D40">
        <v>14</v>
      </c>
      <c r="E40">
        <v>294.16000000000003</v>
      </c>
      <c r="F40" t="s">
        <v>8</v>
      </c>
      <c r="G40" t="str">
        <f t="shared" si="0"/>
        <v>April</v>
      </c>
      <c r="H40" t="str">
        <f t="shared" si="1"/>
        <v>Wednesday</v>
      </c>
    </row>
    <row r="41" spans="1:8" x14ac:dyDescent="0.3">
      <c r="A41" s="1">
        <v>44747</v>
      </c>
      <c r="B41" t="s">
        <v>9</v>
      </c>
      <c r="C41" t="s">
        <v>10</v>
      </c>
      <c r="D41">
        <v>19</v>
      </c>
      <c r="E41">
        <v>217.38</v>
      </c>
      <c r="F41" t="s">
        <v>22</v>
      </c>
      <c r="G41" t="str">
        <f t="shared" si="0"/>
        <v>July</v>
      </c>
      <c r="H41" t="str">
        <f t="shared" si="1"/>
        <v>Tuesday</v>
      </c>
    </row>
    <row r="42" spans="1:8" x14ac:dyDescent="0.3">
      <c r="A42" s="1">
        <v>44779</v>
      </c>
      <c r="B42" t="s">
        <v>12</v>
      </c>
      <c r="C42" t="s">
        <v>7</v>
      </c>
      <c r="D42">
        <v>13</v>
      </c>
      <c r="E42">
        <v>232.97</v>
      </c>
      <c r="F42" t="s">
        <v>11</v>
      </c>
      <c r="G42" t="str">
        <f t="shared" si="0"/>
        <v>August</v>
      </c>
      <c r="H42" t="str">
        <f t="shared" si="1"/>
        <v>Saturday</v>
      </c>
    </row>
    <row r="43" spans="1:8" x14ac:dyDescent="0.3">
      <c r="A43" s="1">
        <v>44706</v>
      </c>
      <c r="B43" t="s">
        <v>9</v>
      </c>
      <c r="C43" t="s">
        <v>13</v>
      </c>
      <c r="D43">
        <v>3</v>
      </c>
      <c r="E43">
        <v>34.74</v>
      </c>
      <c r="F43" t="s">
        <v>14</v>
      </c>
      <c r="G43" t="str">
        <f t="shared" si="0"/>
        <v>May</v>
      </c>
      <c r="H43" t="str">
        <f t="shared" si="1"/>
        <v>Wednesday</v>
      </c>
    </row>
    <row r="44" spans="1:8" x14ac:dyDescent="0.3">
      <c r="A44" s="1">
        <v>44671</v>
      </c>
      <c r="B44" t="s">
        <v>21</v>
      </c>
      <c r="C44" t="s">
        <v>7</v>
      </c>
      <c r="D44">
        <v>7</v>
      </c>
      <c r="E44">
        <v>152.22999999999999</v>
      </c>
      <c r="F44" t="s">
        <v>16</v>
      </c>
      <c r="G44" t="str">
        <f t="shared" si="0"/>
        <v>April</v>
      </c>
      <c r="H44" t="str">
        <f t="shared" si="1"/>
        <v>Wednesday</v>
      </c>
    </row>
    <row r="45" spans="1:8" x14ac:dyDescent="0.3">
      <c r="A45" s="1">
        <v>44696</v>
      </c>
      <c r="B45" t="s">
        <v>18</v>
      </c>
      <c r="C45" t="s">
        <v>24</v>
      </c>
      <c r="D45">
        <v>11</v>
      </c>
      <c r="E45">
        <v>197.71</v>
      </c>
      <c r="F45" t="s">
        <v>14</v>
      </c>
      <c r="G45" t="str">
        <f t="shared" si="0"/>
        <v>May</v>
      </c>
      <c r="H45" t="str">
        <f t="shared" si="1"/>
        <v>Sunday</v>
      </c>
    </row>
    <row r="46" spans="1:8" x14ac:dyDescent="0.3">
      <c r="A46" s="1">
        <v>44568</v>
      </c>
      <c r="B46" t="s">
        <v>21</v>
      </c>
      <c r="C46" t="s">
        <v>7</v>
      </c>
      <c r="D46">
        <v>10</v>
      </c>
      <c r="E46">
        <v>161.56</v>
      </c>
      <c r="F46" t="s">
        <v>16</v>
      </c>
      <c r="G46" t="str">
        <f t="shared" si="0"/>
        <v>January</v>
      </c>
      <c r="H46" t="str">
        <f t="shared" si="1"/>
        <v>Friday</v>
      </c>
    </row>
    <row r="47" spans="1:8" x14ac:dyDescent="0.3">
      <c r="A47" s="1">
        <v>44710</v>
      </c>
      <c r="B47" t="s">
        <v>9</v>
      </c>
      <c r="C47" t="s">
        <v>19</v>
      </c>
      <c r="D47">
        <v>16</v>
      </c>
      <c r="E47">
        <v>339.11</v>
      </c>
      <c r="F47" t="s">
        <v>14</v>
      </c>
      <c r="G47" t="str">
        <f t="shared" si="0"/>
        <v>May</v>
      </c>
      <c r="H47" t="str">
        <f t="shared" si="1"/>
        <v>Sunday</v>
      </c>
    </row>
    <row r="48" spans="1:8" x14ac:dyDescent="0.3">
      <c r="A48" s="1">
        <v>44630</v>
      </c>
      <c r="B48" t="s">
        <v>9</v>
      </c>
      <c r="C48" t="s">
        <v>20</v>
      </c>
      <c r="D48">
        <v>1</v>
      </c>
      <c r="E48">
        <v>11.64</v>
      </c>
      <c r="F48" t="s">
        <v>14</v>
      </c>
      <c r="G48" t="str">
        <f t="shared" si="0"/>
        <v>March</v>
      </c>
      <c r="H48" t="str">
        <f t="shared" si="1"/>
        <v>Thursday</v>
      </c>
    </row>
    <row r="49" spans="1:8" x14ac:dyDescent="0.3">
      <c r="A49" s="1">
        <v>44690</v>
      </c>
      <c r="B49" t="s">
        <v>9</v>
      </c>
      <c r="C49" t="s">
        <v>19</v>
      </c>
      <c r="D49">
        <v>3</v>
      </c>
      <c r="E49">
        <v>36.54</v>
      </c>
      <c r="F49" t="s">
        <v>8</v>
      </c>
      <c r="G49" t="str">
        <f t="shared" si="0"/>
        <v>May</v>
      </c>
      <c r="H49" t="str">
        <f t="shared" si="1"/>
        <v>Monday</v>
      </c>
    </row>
    <row r="50" spans="1:8" x14ac:dyDescent="0.3">
      <c r="A50" s="1">
        <v>44753</v>
      </c>
      <c r="B50" t="s">
        <v>12</v>
      </c>
      <c r="C50" t="s">
        <v>20</v>
      </c>
      <c r="D50">
        <v>16</v>
      </c>
      <c r="E50">
        <v>163.57</v>
      </c>
      <c r="F50" t="s">
        <v>16</v>
      </c>
      <c r="G50" t="str">
        <f t="shared" si="0"/>
        <v>July</v>
      </c>
      <c r="H50" t="str">
        <f t="shared" si="1"/>
        <v>Monday</v>
      </c>
    </row>
    <row r="51" spans="1:8" x14ac:dyDescent="0.3">
      <c r="A51" s="1">
        <v>44662</v>
      </c>
      <c r="B51" t="s">
        <v>12</v>
      </c>
      <c r="C51" t="s">
        <v>19</v>
      </c>
      <c r="D51">
        <v>11</v>
      </c>
      <c r="E51">
        <v>221.08</v>
      </c>
      <c r="F51" t="s">
        <v>22</v>
      </c>
      <c r="G51" t="str">
        <f t="shared" si="0"/>
        <v>April</v>
      </c>
      <c r="H51" t="str">
        <f t="shared" si="1"/>
        <v>Monday</v>
      </c>
    </row>
    <row r="52" spans="1:8" x14ac:dyDescent="0.3">
      <c r="A52" s="1">
        <v>44563</v>
      </c>
      <c r="B52" t="s">
        <v>15</v>
      </c>
      <c r="C52" t="s">
        <v>10</v>
      </c>
      <c r="D52">
        <v>14</v>
      </c>
      <c r="E52">
        <v>201.96</v>
      </c>
      <c r="F52" t="s">
        <v>16</v>
      </c>
      <c r="G52" t="str">
        <f t="shared" si="0"/>
        <v>January</v>
      </c>
      <c r="H52" t="str">
        <f t="shared" si="1"/>
        <v>Sunday</v>
      </c>
    </row>
    <row r="53" spans="1:8" x14ac:dyDescent="0.3">
      <c r="A53" s="1">
        <v>44734</v>
      </c>
      <c r="B53" t="s">
        <v>12</v>
      </c>
      <c r="C53" t="s">
        <v>23</v>
      </c>
      <c r="D53">
        <v>7</v>
      </c>
      <c r="E53">
        <v>134.24</v>
      </c>
      <c r="F53" t="s">
        <v>14</v>
      </c>
      <c r="G53" t="str">
        <f t="shared" si="0"/>
        <v>June</v>
      </c>
      <c r="H53" t="str">
        <f t="shared" si="1"/>
        <v>Wednesday</v>
      </c>
    </row>
    <row r="54" spans="1:8" x14ac:dyDescent="0.3">
      <c r="A54" s="1">
        <v>44783</v>
      </c>
      <c r="B54" t="s">
        <v>21</v>
      </c>
      <c r="C54" t="s">
        <v>20</v>
      </c>
      <c r="D54">
        <v>8</v>
      </c>
      <c r="E54">
        <v>85.5</v>
      </c>
      <c r="F54" t="s">
        <v>11</v>
      </c>
      <c r="G54" t="str">
        <f t="shared" si="0"/>
        <v>August</v>
      </c>
      <c r="H54" t="str">
        <f t="shared" si="1"/>
        <v>Wednesday</v>
      </c>
    </row>
    <row r="55" spans="1:8" x14ac:dyDescent="0.3">
      <c r="A55" s="1">
        <v>44563</v>
      </c>
      <c r="B55" t="s">
        <v>6</v>
      </c>
      <c r="C55" t="s">
        <v>24</v>
      </c>
      <c r="D55">
        <v>3</v>
      </c>
      <c r="E55">
        <v>42.45</v>
      </c>
      <c r="F55" t="s">
        <v>22</v>
      </c>
      <c r="G55" t="str">
        <f t="shared" si="0"/>
        <v>January</v>
      </c>
      <c r="H55" t="str">
        <f t="shared" si="1"/>
        <v>Sunday</v>
      </c>
    </row>
    <row r="56" spans="1:8" x14ac:dyDescent="0.3">
      <c r="A56" s="1">
        <v>44745</v>
      </c>
      <c r="B56" t="s">
        <v>18</v>
      </c>
      <c r="C56" t="s">
        <v>24</v>
      </c>
      <c r="D56">
        <v>4</v>
      </c>
      <c r="E56">
        <v>43.61</v>
      </c>
      <c r="F56" t="s">
        <v>14</v>
      </c>
      <c r="G56" t="str">
        <f t="shared" si="0"/>
        <v>July</v>
      </c>
      <c r="H56" t="str">
        <f t="shared" si="1"/>
        <v>Sunday</v>
      </c>
    </row>
    <row r="57" spans="1:8" x14ac:dyDescent="0.3">
      <c r="A57" s="1">
        <v>44641</v>
      </c>
      <c r="B57" t="s">
        <v>15</v>
      </c>
      <c r="C57" t="s">
        <v>23</v>
      </c>
      <c r="D57">
        <v>7</v>
      </c>
      <c r="E57">
        <v>134.53</v>
      </c>
      <c r="F57" t="s">
        <v>14</v>
      </c>
      <c r="G57" t="str">
        <f t="shared" si="0"/>
        <v>March</v>
      </c>
      <c r="H57" t="str">
        <f t="shared" si="1"/>
        <v>Monday</v>
      </c>
    </row>
    <row r="58" spans="1:8" x14ac:dyDescent="0.3">
      <c r="A58" s="1">
        <v>44667</v>
      </c>
      <c r="B58" t="s">
        <v>6</v>
      </c>
      <c r="C58" t="s">
        <v>7</v>
      </c>
      <c r="D58">
        <v>7</v>
      </c>
      <c r="E58">
        <v>141.33000000000001</v>
      </c>
      <c r="F58" t="s">
        <v>16</v>
      </c>
      <c r="G58" t="str">
        <f t="shared" si="0"/>
        <v>April</v>
      </c>
      <c r="H58" t="str">
        <f t="shared" si="1"/>
        <v>Saturday</v>
      </c>
    </row>
    <row r="59" spans="1:8" x14ac:dyDescent="0.3">
      <c r="A59" s="1">
        <v>44799</v>
      </c>
      <c r="B59" t="s">
        <v>12</v>
      </c>
      <c r="C59" t="s">
        <v>10</v>
      </c>
      <c r="D59">
        <v>18</v>
      </c>
      <c r="E59">
        <v>336.53</v>
      </c>
      <c r="F59" t="s">
        <v>14</v>
      </c>
      <c r="G59" t="str">
        <f t="shared" si="0"/>
        <v>August</v>
      </c>
      <c r="H59" t="str">
        <f t="shared" si="1"/>
        <v>Friday</v>
      </c>
    </row>
    <row r="60" spans="1:8" x14ac:dyDescent="0.3">
      <c r="A60" s="1">
        <v>44673</v>
      </c>
      <c r="B60" t="s">
        <v>18</v>
      </c>
      <c r="C60" t="s">
        <v>23</v>
      </c>
      <c r="D60">
        <v>20</v>
      </c>
      <c r="E60">
        <v>470.78</v>
      </c>
      <c r="F60" t="s">
        <v>8</v>
      </c>
      <c r="G60" t="str">
        <f t="shared" si="0"/>
        <v>April</v>
      </c>
      <c r="H60" t="str">
        <f t="shared" si="1"/>
        <v>Friday</v>
      </c>
    </row>
    <row r="61" spans="1:8" x14ac:dyDescent="0.3">
      <c r="A61" s="1">
        <v>44637</v>
      </c>
      <c r="B61" t="s">
        <v>18</v>
      </c>
      <c r="C61" t="s">
        <v>24</v>
      </c>
      <c r="D61">
        <v>14</v>
      </c>
      <c r="E61">
        <v>163.03</v>
      </c>
      <c r="F61" t="s">
        <v>14</v>
      </c>
      <c r="G61" t="str">
        <f t="shared" si="0"/>
        <v>March</v>
      </c>
      <c r="H61" t="str">
        <f t="shared" si="1"/>
        <v>Thursday</v>
      </c>
    </row>
    <row r="62" spans="1:8" x14ac:dyDescent="0.3">
      <c r="A62" s="1">
        <v>44740</v>
      </c>
      <c r="B62" t="s">
        <v>12</v>
      </c>
      <c r="C62" t="s">
        <v>23</v>
      </c>
      <c r="D62">
        <v>7</v>
      </c>
      <c r="E62">
        <v>88.38</v>
      </c>
      <c r="F62" t="s">
        <v>22</v>
      </c>
      <c r="G62" t="str">
        <f t="shared" si="0"/>
        <v>June</v>
      </c>
      <c r="H62" t="str">
        <f t="shared" si="1"/>
        <v>Tuesday</v>
      </c>
    </row>
    <row r="63" spans="1:8" x14ac:dyDescent="0.3">
      <c r="A63" s="1">
        <v>44727</v>
      </c>
      <c r="B63" t="s">
        <v>17</v>
      </c>
      <c r="C63" t="s">
        <v>10</v>
      </c>
      <c r="D63">
        <v>11</v>
      </c>
      <c r="E63">
        <v>127.82</v>
      </c>
      <c r="F63" t="s">
        <v>16</v>
      </c>
      <c r="G63" t="str">
        <f t="shared" si="0"/>
        <v>June</v>
      </c>
      <c r="H63" t="str">
        <f t="shared" si="1"/>
        <v>Wednesday</v>
      </c>
    </row>
    <row r="64" spans="1:8" x14ac:dyDescent="0.3">
      <c r="A64" s="1">
        <v>44681</v>
      </c>
      <c r="B64" t="s">
        <v>17</v>
      </c>
      <c r="C64" t="s">
        <v>19</v>
      </c>
      <c r="D64">
        <v>2</v>
      </c>
      <c r="E64">
        <v>30.78</v>
      </c>
      <c r="F64" t="s">
        <v>11</v>
      </c>
      <c r="G64" t="str">
        <f t="shared" si="0"/>
        <v>April</v>
      </c>
      <c r="H64" t="str">
        <f t="shared" si="1"/>
        <v>Saturday</v>
      </c>
    </row>
    <row r="65" spans="1:8" x14ac:dyDescent="0.3">
      <c r="A65" s="1">
        <v>44576</v>
      </c>
      <c r="B65" t="s">
        <v>18</v>
      </c>
      <c r="C65" t="s">
        <v>24</v>
      </c>
      <c r="D65">
        <v>11</v>
      </c>
      <c r="E65">
        <v>211.91</v>
      </c>
      <c r="F65" t="s">
        <v>16</v>
      </c>
      <c r="G65" t="str">
        <f t="shared" si="0"/>
        <v>January</v>
      </c>
      <c r="H65" t="str">
        <f t="shared" si="1"/>
        <v>Saturday</v>
      </c>
    </row>
    <row r="66" spans="1:8" x14ac:dyDescent="0.3">
      <c r="A66" s="1">
        <v>44778</v>
      </c>
      <c r="B66" t="s">
        <v>12</v>
      </c>
      <c r="C66" t="s">
        <v>10</v>
      </c>
      <c r="D66">
        <v>2</v>
      </c>
      <c r="E66">
        <v>34.090000000000003</v>
      </c>
      <c r="F66" t="s">
        <v>16</v>
      </c>
      <c r="G66" t="str">
        <f t="shared" si="0"/>
        <v>August</v>
      </c>
      <c r="H66" t="str">
        <f t="shared" si="1"/>
        <v>Friday</v>
      </c>
    </row>
    <row r="67" spans="1:8" x14ac:dyDescent="0.3">
      <c r="A67" s="1">
        <v>44758</v>
      </c>
      <c r="B67" t="s">
        <v>18</v>
      </c>
      <c r="C67" t="s">
        <v>13</v>
      </c>
      <c r="D67">
        <v>9</v>
      </c>
      <c r="E67">
        <v>158.69</v>
      </c>
      <c r="F67" t="s">
        <v>22</v>
      </c>
      <c r="G67" t="str">
        <f t="shared" ref="G67:G130" si="2">TEXT(A67,"mmmm")</f>
        <v>July</v>
      </c>
      <c r="H67" t="str">
        <f t="shared" ref="H67:H130" si="3">TEXT(A67,"dddd")</f>
        <v>Saturday</v>
      </c>
    </row>
    <row r="68" spans="1:8" x14ac:dyDescent="0.3">
      <c r="A68" s="1">
        <v>44704</v>
      </c>
      <c r="B68" t="s">
        <v>18</v>
      </c>
      <c r="C68" t="s">
        <v>10</v>
      </c>
      <c r="D68">
        <v>15</v>
      </c>
      <c r="E68">
        <v>355.23</v>
      </c>
      <c r="F68" t="s">
        <v>11</v>
      </c>
      <c r="G68" t="str">
        <f t="shared" si="2"/>
        <v>May</v>
      </c>
      <c r="H68" t="str">
        <f t="shared" si="3"/>
        <v>Monday</v>
      </c>
    </row>
    <row r="69" spans="1:8" x14ac:dyDescent="0.3">
      <c r="A69" s="1">
        <v>44670</v>
      </c>
      <c r="B69" t="s">
        <v>9</v>
      </c>
      <c r="C69" t="s">
        <v>13</v>
      </c>
      <c r="D69">
        <v>9</v>
      </c>
      <c r="E69">
        <v>202.58</v>
      </c>
      <c r="F69" t="s">
        <v>11</v>
      </c>
      <c r="G69" t="str">
        <f t="shared" si="2"/>
        <v>April</v>
      </c>
      <c r="H69" t="str">
        <f t="shared" si="3"/>
        <v>Tuesday</v>
      </c>
    </row>
    <row r="70" spans="1:8" x14ac:dyDescent="0.3">
      <c r="A70" s="1">
        <v>44778</v>
      </c>
      <c r="B70" t="s">
        <v>21</v>
      </c>
      <c r="C70" t="s">
        <v>10</v>
      </c>
      <c r="D70">
        <v>10</v>
      </c>
      <c r="E70">
        <v>245.9</v>
      </c>
      <c r="F70" t="s">
        <v>16</v>
      </c>
      <c r="G70" t="str">
        <f t="shared" si="2"/>
        <v>August</v>
      </c>
      <c r="H70" t="str">
        <f t="shared" si="3"/>
        <v>Friday</v>
      </c>
    </row>
    <row r="71" spans="1:8" x14ac:dyDescent="0.3">
      <c r="A71" s="1">
        <v>44804</v>
      </c>
      <c r="B71" t="s">
        <v>18</v>
      </c>
      <c r="C71" t="s">
        <v>13</v>
      </c>
      <c r="D71">
        <v>12</v>
      </c>
      <c r="E71">
        <v>270.74</v>
      </c>
      <c r="F71" t="s">
        <v>8</v>
      </c>
      <c r="G71" t="str">
        <f t="shared" si="2"/>
        <v>August</v>
      </c>
      <c r="H71" t="str">
        <f t="shared" si="3"/>
        <v>Wednesday</v>
      </c>
    </row>
    <row r="72" spans="1:8" x14ac:dyDescent="0.3">
      <c r="A72" s="1">
        <v>44796</v>
      </c>
      <c r="B72" t="s">
        <v>17</v>
      </c>
      <c r="C72" t="s">
        <v>13</v>
      </c>
      <c r="D72">
        <v>5</v>
      </c>
      <c r="E72">
        <v>88.84</v>
      </c>
      <c r="F72" t="s">
        <v>22</v>
      </c>
      <c r="G72" t="str">
        <f t="shared" si="2"/>
        <v>August</v>
      </c>
      <c r="H72" t="str">
        <f t="shared" si="3"/>
        <v>Tuesday</v>
      </c>
    </row>
    <row r="73" spans="1:8" x14ac:dyDescent="0.3">
      <c r="A73" s="1">
        <v>44627</v>
      </c>
      <c r="B73" t="s">
        <v>12</v>
      </c>
      <c r="C73" t="s">
        <v>23</v>
      </c>
      <c r="D73">
        <v>20</v>
      </c>
      <c r="E73">
        <v>433.81</v>
      </c>
      <c r="F73" t="s">
        <v>16</v>
      </c>
      <c r="G73" t="str">
        <f t="shared" si="2"/>
        <v>March</v>
      </c>
      <c r="H73" t="str">
        <f t="shared" si="3"/>
        <v>Monday</v>
      </c>
    </row>
    <row r="74" spans="1:8" x14ac:dyDescent="0.3">
      <c r="A74" s="1">
        <v>44767</v>
      </c>
      <c r="B74" t="s">
        <v>9</v>
      </c>
      <c r="C74" t="s">
        <v>7</v>
      </c>
      <c r="D74">
        <v>2</v>
      </c>
      <c r="E74">
        <v>29.63</v>
      </c>
      <c r="F74" t="s">
        <v>8</v>
      </c>
      <c r="G74" t="str">
        <f t="shared" si="2"/>
        <v>July</v>
      </c>
      <c r="H74" t="str">
        <f t="shared" si="3"/>
        <v>Monday</v>
      </c>
    </row>
    <row r="75" spans="1:8" x14ac:dyDescent="0.3">
      <c r="A75" s="1">
        <v>44601</v>
      </c>
      <c r="B75" t="s">
        <v>17</v>
      </c>
      <c r="C75" t="s">
        <v>23</v>
      </c>
      <c r="D75">
        <v>15</v>
      </c>
      <c r="E75">
        <v>334.05</v>
      </c>
      <c r="F75" t="s">
        <v>11</v>
      </c>
      <c r="G75" t="str">
        <f t="shared" si="2"/>
        <v>February</v>
      </c>
      <c r="H75" t="str">
        <f t="shared" si="3"/>
        <v>Wednesday</v>
      </c>
    </row>
    <row r="76" spans="1:8" x14ac:dyDescent="0.3">
      <c r="A76" s="1">
        <v>44620</v>
      </c>
      <c r="B76" t="s">
        <v>18</v>
      </c>
      <c r="C76" t="s">
        <v>13</v>
      </c>
      <c r="D76">
        <v>4</v>
      </c>
      <c r="E76">
        <v>52.1</v>
      </c>
      <c r="F76" t="s">
        <v>22</v>
      </c>
      <c r="G76" t="str">
        <f t="shared" si="2"/>
        <v>February</v>
      </c>
      <c r="H76" t="str">
        <f t="shared" si="3"/>
        <v>Monday</v>
      </c>
    </row>
    <row r="77" spans="1:8" x14ac:dyDescent="0.3">
      <c r="A77" s="1">
        <v>44704</v>
      </c>
      <c r="B77" t="s">
        <v>9</v>
      </c>
      <c r="C77" t="s">
        <v>13</v>
      </c>
      <c r="D77">
        <v>6</v>
      </c>
      <c r="E77">
        <v>51.97</v>
      </c>
      <c r="F77" t="s">
        <v>14</v>
      </c>
      <c r="G77" t="str">
        <f t="shared" si="2"/>
        <v>May</v>
      </c>
      <c r="H77" t="str">
        <f t="shared" si="3"/>
        <v>Monday</v>
      </c>
    </row>
    <row r="78" spans="1:8" x14ac:dyDescent="0.3">
      <c r="A78" s="1">
        <v>44773</v>
      </c>
      <c r="B78" t="s">
        <v>9</v>
      </c>
      <c r="C78" t="s">
        <v>19</v>
      </c>
      <c r="D78">
        <v>14</v>
      </c>
      <c r="E78">
        <v>324.2</v>
      </c>
      <c r="F78" t="s">
        <v>16</v>
      </c>
      <c r="G78" t="str">
        <f t="shared" si="2"/>
        <v>July</v>
      </c>
      <c r="H78" t="str">
        <f t="shared" si="3"/>
        <v>Sunday</v>
      </c>
    </row>
    <row r="79" spans="1:8" x14ac:dyDescent="0.3">
      <c r="A79" s="1">
        <v>44707</v>
      </c>
      <c r="B79" t="s">
        <v>18</v>
      </c>
      <c r="C79" t="s">
        <v>24</v>
      </c>
      <c r="D79">
        <v>9</v>
      </c>
      <c r="E79">
        <v>155.31</v>
      </c>
      <c r="F79" t="s">
        <v>14</v>
      </c>
      <c r="G79" t="str">
        <f t="shared" si="2"/>
        <v>May</v>
      </c>
      <c r="H79" t="str">
        <f t="shared" si="3"/>
        <v>Thursday</v>
      </c>
    </row>
    <row r="80" spans="1:8" x14ac:dyDescent="0.3">
      <c r="A80" s="1">
        <v>44617</v>
      </c>
      <c r="B80" t="s">
        <v>18</v>
      </c>
      <c r="C80" t="s">
        <v>19</v>
      </c>
      <c r="D80">
        <v>13</v>
      </c>
      <c r="E80">
        <v>205.85</v>
      </c>
      <c r="F80" t="s">
        <v>14</v>
      </c>
      <c r="G80" t="str">
        <f t="shared" si="2"/>
        <v>February</v>
      </c>
      <c r="H80" t="str">
        <f t="shared" si="3"/>
        <v>Friday</v>
      </c>
    </row>
    <row r="81" spans="1:8" x14ac:dyDescent="0.3">
      <c r="A81" s="1">
        <v>44656</v>
      </c>
      <c r="B81" t="s">
        <v>6</v>
      </c>
      <c r="C81" t="s">
        <v>7</v>
      </c>
      <c r="D81">
        <v>4</v>
      </c>
      <c r="E81">
        <v>64.28</v>
      </c>
      <c r="F81" t="s">
        <v>14</v>
      </c>
      <c r="G81" t="str">
        <f t="shared" si="2"/>
        <v>April</v>
      </c>
      <c r="H81" t="str">
        <f t="shared" si="3"/>
        <v>Tuesday</v>
      </c>
    </row>
    <row r="82" spans="1:8" x14ac:dyDescent="0.3">
      <c r="A82" s="1">
        <v>44733</v>
      </c>
      <c r="B82" t="s">
        <v>21</v>
      </c>
      <c r="C82" t="s">
        <v>19</v>
      </c>
      <c r="D82">
        <v>1</v>
      </c>
      <c r="E82">
        <v>8.09</v>
      </c>
      <c r="F82" t="s">
        <v>22</v>
      </c>
      <c r="G82" t="str">
        <f t="shared" si="2"/>
        <v>June</v>
      </c>
      <c r="H82" t="str">
        <f t="shared" si="3"/>
        <v>Tuesday</v>
      </c>
    </row>
    <row r="83" spans="1:8" x14ac:dyDescent="0.3">
      <c r="A83" s="1">
        <v>44775</v>
      </c>
      <c r="B83" t="s">
        <v>15</v>
      </c>
      <c r="C83" t="s">
        <v>13</v>
      </c>
      <c r="D83">
        <v>10</v>
      </c>
      <c r="E83">
        <v>213.75</v>
      </c>
      <c r="F83" t="s">
        <v>11</v>
      </c>
      <c r="G83" t="str">
        <f t="shared" si="2"/>
        <v>August</v>
      </c>
      <c r="H83" t="str">
        <f t="shared" si="3"/>
        <v>Tuesday</v>
      </c>
    </row>
    <row r="84" spans="1:8" x14ac:dyDescent="0.3">
      <c r="A84" s="1">
        <v>44671</v>
      </c>
      <c r="B84" t="s">
        <v>6</v>
      </c>
      <c r="C84" t="s">
        <v>23</v>
      </c>
      <c r="D84">
        <v>18</v>
      </c>
      <c r="E84">
        <v>244.76</v>
      </c>
      <c r="F84" t="s">
        <v>22</v>
      </c>
      <c r="G84" t="str">
        <f t="shared" si="2"/>
        <v>April</v>
      </c>
      <c r="H84" t="str">
        <f t="shared" si="3"/>
        <v>Wednesday</v>
      </c>
    </row>
    <row r="85" spans="1:8" x14ac:dyDescent="0.3">
      <c r="A85" s="1">
        <v>44678</v>
      </c>
      <c r="B85" t="s">
        <v>9</v>
      </c>
      <c r="C85" t="s">
        <v>10</v>
      </c>
      <c r="D85">
        <v>19</v>
      </c>
      <c r="E85">
        <v>316.79000000000002</v>
      </c>
      <c r="F85" t="s">
        <v>22</v>
      </c>
      <c r="G85" t="str">
        <f t="shared" si="2"/>
        <v>April</v>
      </c>
      <c r="H85" t="str">
        <f t="shared" si="3"/>
        <v>Wednesday</v>
      </c>
    </row>
    <row r="86" spans="1:8" x14ac:dyDescent="0.3">
      <c r="A86" s="1">
        <v>44742</v>
      </c>
      <c r="B86" t="s">
        <v>21</v>
      </c>
      <c r="C86" t="s">
        <v>10</v>
      </c>
      <c r="D86">
        <v>20</v>
      </c>
      <c r="E86">
        <v>219.72</v>
      </c>
      <c r="F86" t="s">
        <v>16</v>
      </c>
      <c r="G86" t="str">
        <f t="shared" si="2"/>
        <v>June</v>
      </c>
      <c r="H86" t="str">
        <f t="shared" si="3"/>
        <v>Thursday</v>
      </c>
    </row>
    <row r="87" spans="1:8" x14ac:dyDescent="0.3">
      <c r="A87" s="1">
        <v>44627</v>
      </c>
      <c r="B87" t="s">
        <v>15</v>
      </c>
      <c r="C87" t="s">
        <v>13</v>
      </c>
      <c r="D87">
        <v>18</v>
      </c>
      <c r="E87">
        <v>371.23</v>
      </c>
      <c r="F87" t="s">
        <v>22</v>
      </c>
      <c r="G87" t="str">
        <f t="shared" si="2"/>
        <v>March</v>
      </c>
      <c r="H87" t="str">
        <f t="shared" si="3"/>
        <v>Monday</v>
      </c>
    </row>
    <row r="88" spans="1:8" x14ac:dyDescent="0.3">
      <c r="A88" s="1">
        <v>44702</v>
      </c>
      <c r="B88" t="s">
        <v>15</v>
      </c>
      <c r="C88" t="s">
        <v>19</v>
      </c>
      <c r="D88">
        <v>12</v>
      </c>
      <c r="E88">
        <v>242.44</v>
      </c>
      <c r="F88" t="s">
        <v>16</v>
      </c>
      <c r="G88" t="str">
        <f t="shared" si="2"/>
        <v>May</v>
      </c>
      <c r="H88" t="str">
        <f t="shared" si="3"/>
        <v>Saturday</v>
      </c>
    </row>
    <row r="89" spans="1:8" x14ac:dyDescent="0.3">
      <c r="A89" s="1">
        <v>44745</v>
      </c>
      <c r="B89" t="s">
        <v>12</v>
      </c>
      <c r="C89" t="s">
        <v>19</v>
      </c>
      <c r="D89">
        <v>18</v>
      </c>
      <c r="E89">
        <v>214.09</v>
      </c>
      <c r="F89" t="s">
        <v>14</v>
      </c>
      <c r="G89" t="str">
        <f t="shared" si="2"/>
        <v>July</v>
      </c>
      <c r="H89" t="str">
        <f t="shared" si="3"/>
        <v>Sunday</v>
      </c>
    </row>
    <row r="90" spans="1:8" x14ac:dyDescent="0.3">
      <c r="A90" s="1">
        <v>44633</v>
      </c>
      <c r="B90" t="s">
        <v>9</v>
      </c>
      <c r="C90" t="s">
        <v>24</v>
      </c>
      <c r="D90">
        <v>20</v>
      </c>
      <c r="E90">
        <v>183.48</v>
      </c>
      <c r="F90" t="s">
        <v>22</v>
      </c>
      <c r="G90" t="str">
        <f t="shared" si="2"/>
        <v>March</v>
      </c>
      <c r="H90" t="str">
        <f t="shared" si="3"/>
        <v>Sunday</v>
      </c>
    </row>
    <row r="91" spans="1:8" x14ac:dyDescent="0.3">
      <c r="A91" s="1">
        <v>44722</v>
      </c>
      <c r="B91" t="s">
        <v>6</v>
      </c>
      <c r="C91" t="s">
        <v>23</v>
      </c>
      <c r="D91">
        <v>11</v>
      </c>
      <c r="E91">
        <v>272.97000000000003</v>
      </c>
      <c r="F91" t="s">
        <v>8</v>
      </c>
      <c r="G91" t="str">
        <f t="shared" si="2"/>
        <v>June</v>
      </c>
      <c r="H91" t="str">
        <f t="shared" si="3"/>
        <v>Friday</v>
      </c>
    </row>
    <row r="92" spans="1:8" x14ac:dyDescent="0.3">
      <c r="A92" s="1">
        <v>44597</v>
      </c>
      <c r="B92" t="s">
        <v>12</v>
      </c>
      <c r="C92" t="s">
        <v>13</v>
      </c>
      <c r="D92">
        <v>13</v>
      </c>
      <c r="E92">
        <v>129.30000000000001</v>
      </c>
      <c r="F92" t="s">
        <v>14</v>
      </c>
      <c r="G92" t="str">
        <f t="shared" si="2"/>
        <v>February</v>
      </c>
      <c r="H92" t="str">
        <f t="shared" si="3"/>
        <v>Saturday</v>
      </c>
    </row>
    <row r="93" spans="1:8" x14ac:dyDescent="0.3">
      <c r="A93" s="1">
        <v>44704</v>
      </c>
      <c r="B93" t="s">
        <v>15</v>
      </c>
      <c r="C93" t="s">
        <v>13</v>
      </c>
      <c r="D93">
        <v>5</v>
      </c>
      <c r="E93">
        <v>59.7</v>
      </c>
      <c r="F93" t="s">
        <v>14</v>
      </c>
      <c r="G93" t="str">
        <f t="shared" si="2"/>
        <v>May</v>
      </c>
      <c r="H93" t="str">
        <f t="shared" si="3"/>
        <v>Monday</v>
      </c>
    </row>
    <row r="94" spans="1:8" x14ac:dyDescent="0.3">
      <c r="A94" s="1">
        <v>44784</v>
      </c>
      <c r="B94" t="s">
        <v>12</v>
      </c>
      <c r="C94" t="s">
        <v>19</v>
      </c>
      <c r="D94">
        <v>20</v>
      </c>
      <c r="E94">
        <v>210.82</v>
      </c>
      <c r="F94" t="s">
        <v>14</v>
      </c>
      <c r="G94" t="str">
        <f t="shared" si="2"/>
        <v>August</v>
      </c>
      <c r="H94" t="str">
        <f t="shared" si="3"/>
        <v>Thursday</v>
      </c>
    </row>
    <row r="95" spans="1:8" x14ac:dyDescent="0.3">
      <c r="A95" s="1">
        <v>44633</v>
      </c>
      <c r="B95" t="s">
        <v>6</v>
      </c>
      <c r="C95" t="s">
        <v>7</v>
      </c>
      <c r="D95">
        <v>6</v>
      </c>
      <c r="E95">
        <v>115.79</v>
      </c>
      <c r="F95" t="s">
        <v>11</v>
      </c>
      <c r="G95" t="str">
        <f t="shared" si="2"/>
        <v>March</v>
      </c>
      <c r="H95" t="str">
        <f t="shared" si="3"/>
        <v>Sunday</v>
      </c>
    </row>
    <row r="96" spans="1:8" x14ac:dyDescent="0.3">
      <c r="A96" s="1">
        <v>44718</v>
      </c>
      <c r="B96" t="s">
        <v>9</v>
      </c>
      <c r="C96" t="s">
        <v>23</v>
      </c>
      <c r="D96">
        <v>18</v>
      </c>
      <c r="E96">
        <v>322.41000000000003</v>
      </c>
      <c r="F96" t="s">
        <v>14</v>
      </c>
      <c r="G96" t="str">
        <f t="shared" si="2"/>
        <v>June</v>
      </c>
      <c r="H96" t="str">
        <f t="shared" si="3"/>
        <v>Monday</v>
      </c>
    </row>
    <row r="97" spans="1:8" x14ac:dyDescent="0.3">
      <c r="A97" s="1">
        <v>44762</v>
      </c>
      <c r="B97" t="s">
        <v>9</v>
      </c>
      <c r="C97" t="s">
        <v>7</v>
      </c>
      <c r="D97">
        <v>4</v>
      </c>
      <c r="E97">
        <v>73.39</v>
      </c>
      <c r="F97" t="s">
        <v>14</v>
      </c>
      <c r="G97" t="str">
        <f t="shared" si="2"/>
        <v>July</v>
      </c>
      <c r="H97" t="str">
        <f t="shared" si="3"/>
        <v>Wednesday</v>
      </c>
    </row>
    <row r="98" spans="1:8" x14ac:dyDescent="0.3">
      <c r="A98" s="1">
        <v>44718</v>
      </c>
      <c r="B98" t="s">
        <v>18</v>
      </c>
      <c r="C98" t="s">
        <v>10</v>
      </c>
      <c r="D98">
        <v>4</v>
      </c>
      <c r="E98">
        <v>50.12</v>
      </c>
      <c r="F98" t="s">
        <v>16</v>
      </c>
      <c r="G98" t="str">
        <f t="shared" si="2"/>
        <v>June</v>
      </c>
      <c r="H98" t="str">
        <f t="shared" si="3"/>
        <v>Monday</v>
      </c>
    </row>
    <row r="99" spans="1:8" x14ac:dyDescent="0.3">
      <c r="A99" s="1">
        <v>44619</v>
      </c>
      <c r="B99" t="s">
        <v>21</v>
      </c>
      <c r="C99" t="s">
        <v>24</v>
      </c>
      <c r="D99">
        <v>3</v>
      </c>
      <c r="E99">
        <v>45.16</v>
      </c>
      <c r="F99" t="s">
        <v>14</v>
      </c>
      <c r="G99" t="str">
        <f t="shared" si="2"/>
        <v>February</v>
      </c>
      <c r="H99" t="str">
        <f t="shared" si="3"/>
        <v>Sunday</v>
      </c>
    </row>
    <row r="100" spans="1:8" x14ac:dyDescent="0.3">
      <c r="A100" s="1">
        <v>44801</v>
      </c>
      <c r="B100" t="s">
        <v>15</v>
      </c>
      <c r="C100" t="s">
        <v>7</v>
      </c>
      <c r="D100">
        <v>16</v>
      </c>
      <c r="E100">
        <v>212.81</v>
      </c>
      <c r="F100" t="s">
        <v>11</v>
      </c>
      <c r="G100" t="str">
        <f t="shared" si="2"/>
        <v>August</v>
      </c>
      <c r="H100" t="str">
        <f t="shared" si="3"/>
        <v>Sunday</v>
      </c>
    </row>
    <row r="101" spans="1:8" x14ac:dyDescent="0.3">
      <c r="A101" s="1">
        <v>44693</v>
      </c>
      <c r="B101" t="s">
        <v>21</v>
      </c>
      <c r="C101" t="s">
        <v>19</v>
      </c>
      <c r="D101">
        <v>19</v>
      </c>
      <c r="E101">
        <v>192.59</v>
      </c>
      <c r="F101" t="s">
        <v>16</v>
      </c>
      <c r="G101" t="str">
        <f t="shared" si="2"/>
        <v>May</v>
      </c>
      <c r="H101" t="str">
        <f t="shared" si="3"/>
        <v>Thursday</v>
      </c>
    </row>
    <row r="102" spans="1:8" x14ac:dyDescent="0.3">
      <c r="A102" s="1">
        <v>44715</v>
      </c>
      <c r="B102" t="s">
        <v>21</v>
      </c>
      <c r="C102" t="s">
        <v>10</v>
      </c>
      <c r="D102">
        <v>2</v>
      </c>
      <c r="E102">
        <v>36.56</v>
      </c>
      <c r="F102" t="s">
        <v>16</v>
      </c>
      <c r="G102" t="str">
        <f t="shared" si="2"/>
        <v>June</v>
      </c>
      <c r="H102" t="str">
        <f t="shared" si="3"/>
        <v>Friday</v>
      </c>
    </row>
    <row r="103" spans="1:8" x14ac:dyDescent="0.3">
      <c r="A103" s="1">
        <v>44631</v>
      </c>
      <c r="B103" t="s">
        <v>12</v>
      </c>
      <c r="C103" t="s">
        <v>19</v>
      </c>
      <c r="D103">
        <v>15</v>
      </c>
      <c r="E103">
        <v>244.66</v>
      </c>
      <c r="F103" t="s">
        <v>11</v>
      </c>
      <c r="G103" t="str">
        <f t="shared" si="2"/>
        <v>March</v>
      </c>
      <c r="H103" t="str">
        <f t="shared" si="3"/>
        <v>Friday</v>
      </c>
    </row>
    <row r="104" spans="1:8" x14ac:dyDescent="0.3">
      <c r="A104" s="1">
        <v>44709</v>
      </c>
      <c r="B104" t="s">
        <v>15</v>
      </c>
      <c r="C104" t="s">
        <v>20</v>
      </c>
      <c r="D104">
        <v>17</v>
      </c>
      <c r="E104">
        <v>281.12</v>
      </c>
      <c r="F104" t="s">
        <v>14</v>
      </c>
      <c r="G104" t="str">
        <f t="shared" si="2"/>
        <v>May</v>
      </c>
      <c r="H104" t="str">
        <f t="shared" si="3"/>
        <v>Saturday</v>
      </c>
    </row>
    <row r="105" spans="1:8" x14ac:dyDescent="0.3">
      <c r="A105" s="1">
        <v>44571</v>
      </c>
      <c r="B105" t="s">
        <v>18</v>
      </c>
      <c r="C105" t="s">
        <v>24</v>
      </c>
      <c r="D105">
        <v>19</v>
      </c>
      <c r="E105">
        <v>161.94999999999999</v>
      </c>
      <c r="F105" t="s">
        <v>14</v>
      </c>
      <c r="G105" t="str">
        <f t="shared" si="2"/>
        <v>January</v>
      </c>
      <c r="H105" t="str">
        <f t="shared" si="3"/>
        <v>Monday</v>
      </c>
    </row>
    <row r="106" spans="1:8" x14ac:dyDescent="0.3">
      <c r="A106" s="1">
        <v>44582</v>
      </c>
      <c r="B106" t="s">
        <v>6</v>
      </c>
      <c r="C106" t="s">
        <v>13</v>
      </c>
      <c r="D106">
        <v>9</v>
      </c>
      <c r="E106">
        <v>180.5</v>
      </c>
      <c r="F106" t="s">
        <v>11</v>
      </c>
      <c r="G106" t="str">
        <f t="shared" si="2"/>
        <v>January</v>
      </c>
      <c r="H106" t="str">
        <f t="shared" si="3"/>
        <v>Friday</v>
      </c>
    </row>
    <row r="107" spans="1:8" x14ac:dyDescent="0.3">
      <c r="A107" s="1">
        <v>44701</v>
      </c>
      <c r="B107" t="s">
        <v>17</v>
      </c>
      <c r="C107" t="s">
        <v>10</v>
      </c>
      <c r="D107">
        <v>18</v>
      </c>
      <c r="E107">
        <v>426.02</v>
      </c>
      <c r="F107" t="s">
        <v>14</v>
      </c>
      <c r="G107" t="str">
        <f t="shared" si="2"/>
        <v>May</v>
      </c>
      <c r="H107" t="str">
        <f t="shared" si="3"/>
        <v>Friday</v>
      </c>
    </row>
    <row r="108" spans="1:8" x14ac:dyDescent="0.3">
      <c r="A108" s="1">
        <v>44751</v>
      </c>
      <c r="B108" t="s">
        <v>21</v>
      </c>
      <c r="C108" t="s">
        <v>19</v>
      </c>
      <c r="D108">
        <v>10</v>
      </c>
      <c r="E108">
        <v>101.77</v>
      </c>
      <c r="F108" t="s">
        <v>16</v>
      </c>
      <c r="G108" t="str">
        <f t="shared" si="2"/>
        <v>July</v>
      </c>
      <c r="H108" t="str">
        <f t="shared" si="3"/>
        <v>Saturday</v>
      </c>
    </row>
    <row r="109" spans="1:8" x14ac:dyDescent="0.3">
      <c r="A109" s="1">
        <v>44731</v>
      </c>
      <c r="B109" t="s">
        <v>17</v>
      </c>
      <c r="C109" t="s">
        <v>19</v>
      </c>
      <c r="D109">
        <v>12</v>
      </c>
      <c r="E109">
        <v>132.47999999999999</v>
      </c>
      <c r="F109" t="s">
        <v>11</v>
      </c>
      <c r="G109" t="str">
        <f t="shared" si="2"/>
        <v>June</v>
      </c>
      <c r="H109" t="str">
        <f t="shared" si="3"/>
        <v>Sunday</v>
      </c>
    </row>
    <row r="110" spans="1:8" x14ac:dyDescent="0.3">
      <c r="A110" s="1">
        <v>44712</v>
      </c>
      <c r="B110" t="s">
        <v>17</v>
      </c>
      <c r="C110" t="s">
        <v>7</v>
      </c>
      <c r="D110">
        <v>9</v>
      </c>
      <c r="E110">
        <v>82.8</v>
      </c>
      <c r="F110" t="s">
        <v>8</v>
      </c>
      <c r="G110" t="str">
        <f t="shared" si="2"/>
        <v>May</v>
      </c>
      <c r="H110" t="str">
        <f t="shared" si="3"/>
        <v>Tuesday</v>
      </c>
    </row>
    <row r="111" spans="1:8" x14ac:dyDescent="0.3">
      <c r="A111" s="1">
        <v>44704</v>
      </c>
      <c r="B111" t="s">
        <v>17</v>
      </c>
      <c r="C111" t="s">
        <v>19</v>
      </c>
      <c r="D111">
        <v>1</v>
      </c>
      <c r="E111">
        <v>8.51</v>
      </c>
      <c r="F111" t="s">
        <v>11</v>
      </c>
      <c r="G111" t="str">
        <f t="shared" si="2"/>
        <v>May</v>
      </c>
      <c r="H111" t="str">
        <f t="shared" si="3"/>
        <v>Monday</v>
      </c>
    </row>
    <row r="112" spans="1:8" x14ac:dyDescent="0.3">
      <c r="A112" s="1">
        <v>44568</v>
      </c>
      <c r="B112" t="s">
        <v>15</v>
      </c>
      <c r="C112" t="s">
        <v>19</v>
      </c>
      <c r="D112">
        <v>11</v>
      </c>
      <c r="E112">
        <v>90.19</v>
      </c>
      <c r="F112" t="s">
        <v>16</v>
      </c>
      <c r="G112" t="str">
        <f t="shared" si="2"/>
        <v>January</v>
      </c>
      <c r="H112" t="str">
        <f t="shared" si="3"/>
        <v>Friday</v>
      </c>
    </row>
    <row r="113" spans="1:8" x14ac:dyDescent="0.3">
      <c r="A113" s="1">
        <v>44773</v>
      </c>
      <c r="B113" t="s">
        <v>18</v>
      </c>
      <c r="C113" t="s">
        <v>13</v>
      </c>
      <c r="D113">
        <v>6</v>
      </c>
      <c r="E113">
        <v>60.03</v>
      </c>
      <c r="F113" t="s">
        <v>14</v>
      </c>
      <c r="G113" t="str">
        <f t="shared" si="2"/>
        <v>July</v>
      </c>
      <c r="H113" t="str">
        <f t="shared" si="3"/>
        <v>Sunday</v>
      </c>
    </row>
    <row r="114" spans="1:8" x14ac:dyDescent="0.3">
      <c r="A114" s="1">
        <v>44705</v>
      </c>
      <c r="B114" t="s">
        <v>18</v>
      </c>
      <c r="C114" t="s">
        <v>20</v>
      </c>
      <c r="D114">
        <v>8</v>
      </c>
      <c r="E114">
        <v>142.54</v>
      </c>
      <c r="F114" t="s">
        <v>22</v>
      </c>
      <c r="G114" t="str">
        <f t="shared" si="2"/>
        <v>May</v>
      </c>
      <c r="H114" t="str">
        <f t="shared" si="3"/>
        <v>Tuesday</v>
      </c>
    </row>
    <row r="115" spans="1:8" x14ac:dyDescent="0.3">
      <c r="A115" s="1">
        <v>44674</v>
      </c>
      <c r="B115" t="s">
        <v>21</v>
      </c>
      <c r="C115" t="s">
        <v>10</v>
      </c>
      <c r="D115">
        <v>4</v>
      </c>
      <c r="E115">
        <v>96.7</v>
      </c>
      <c r="F115" t="s">
        <v>22</v>
      </c>
      <c r="G115" t="str">
        <f t="shared" si="2"/>
        <v>April</v>
      </c>
      <c r="H115" t="str">
        <f t="shared" si="3"/>
        <v>Saturday</v>
      </c>
    </row>
    <row r="116" spans="1:8" x14ac:dyDescent="0.3">
      <c r="A116" s="1">
        <v>44638</v>
      </c>
      <c r="B116" t="s">
        <v>21</v>
      </c>
      <c r="C116" t="s">
        <v>13</v>
      </c>
      <c r="D116">
        <v>15</v>
      </c>
      <c r="E116">
        <v>151.63999999999999</v>
      </c>
      <c r="F116" t="s">
        <v>8</v>
      </c>
      <c r="G116" t="str">
        <f t="shared" si="2"/>
        <v>March</v>
      </c>
      <c r="H116" t="str">
        <f t="shared" si="3"/>
        <v>Friday</v>
      </c>
    </row>
    <row r="117" spans="1:8" x14ac:dyDescent="0.3">
      <c r="A117" s="1">
        <v>44798</v>
      </c>
      <c r="B117" t="s">
        <v>9</v>
      </c>
      <c r="C117" t="s">
        <v>7</v>
      </c>
      <c r="D117">
        <v>15</v>
      </c>
      <c r="E117">
        <v>197.97</v>
      </c>
      <c r="F117" t="s">
        <v>11</v>
      </c>
      <c r="G117" t="str">
        <f t="shared" si="2"/>
        <v>August</v>
      </c>
      <c r="H117" t="str">
        <f t="shared" si="3"/>
        <v>Thursday</v>
      </c>
    </row>
    <row r="118" spans="1:8" x14ac:dyDescent="0.3">
      <c r="A118" s="1">
        <v>44624</v>
      </c>
      <c r="B118" t="s">
        <v>21</v>
      </c>
      <c r="C118" t="s">
        <v>7</v>
      </c>
      <c r="D118">
        <v>9</v>
      </c>
      <c r="E118">
        <v>182.35</v>
      </c>
      <c r="F118" t="s">
        <v>22</v>
      </c>
      <c r="G118" t="str">
        <f t="shared" si="2"/>
        <v>March</v>
      </c>
      <c r="H118" t="str">
        <f t="shared" si="3"/>
        <v>Friday</v>
      </c>
    </row>
    <row r="119" spans="1:8" x14ac:dyDescent="0.3">
      <c r="A119" s="1">
        <v>44644</v>
      </c>
      <c r="B119" t="s">
        <v>15</v>
      </c>
      <c r="C119" t="s">
        <v>7</v>
      </c>
      <c r="D119">
        <v>19</v>
      </c>
      <c r="E119">
        <v>443.56</v>
      </c>
      <c r="F119" t="s">
        <v>11</v>
      </c>
      <c r="G119" t="str">
        <f t="shared" si="2"/>
        <v>March</v>
      </c>
      <c r="H119" t="str">
        <f t="shared" si="3"/>
        <v>Thursday</v>
      </c>
    </row>
    <row r="120" spans="1:8" x14ac:dyDescent="0.3">
      <c r="A120" s="1">
        <v>44647</v>
      </c>
      <c r="B120" t="s">
        <v>9</v>
      </c>
      <c r="C120" t="s">
        <v>23</v>
      </c>
      <c r="D120">
        <v>9</v>
      </c>
      <c r="E120">
        <v>89.01</v>
      </c>
      <c r="F120" t="s">
        <v>11</v>
      </c>
      <c r="G120" t="str">
        <f t="shared" si="2"/>
        <v>March</v>
      </c>
      <c r="H120" t="str">
        <f t="shared" si="3"/>
        <v>Sunday</v>
      </c>
    </row>
    <row r="121" spans="1:8" x14ac:dyDescent="0.3">
      <c r="A121" s="1">
        <v>44699</v>
      </c>
      <c r="B121" t="s">
        <v>18</v>
      </c>
      <c r="C121" t="s">
        <v>24</v>
      </c>
      <c r="D121">
        <v>1</v>
      </c>
      <c r="E121">
        <v>10.32</v>
      </c>
      <c r="F121" t="s">
        <v>16</v>
      </c>
      <c r="G121" t="str">
        <f t="shared" si="2"/>
        <v>May</v>
      </c>
      <c r="H121" t="str">
        <f t="shared" si="3"/>
        <v>Wednesday</v>
      </c>
    </row>
    <row r="122" spans="1:8" x14ac:dyDescent="0.3">
      <c r="A122" s="1">
        <v>44695</v>
      </c>
      <c r="B122" t="s">
        <v>21</v>
      </c>
      <c r="C122" t="s">
        <v>20</v>
      </c>
      <c r="D122">
        <v>20</v>
      </c>
      <c r="E122">
        <v>414.06</v>
      </c>
      <c r="F122" t="s">
        <v>16</v>
      </c>
      <c r="G122" t="str">
        <f t="shared" si="2"/>
        <v>May</v>
      </c>
      <c r="H122" t="str">
        <f t="shared" si="3"/>
        <v>Saturday</v>
      </c>
    </row>
    <row r="123" spans="1:8" x14ac:dyDescent="0.3">
      <c r="A123" s="1">
        <v>44600</v>
      </c>
      <c r="B123" t="s">
        <v>12</v>
      </c>
      <c r="C123" t="s">
        <v>20</v>
      </c>
      <c r="D123">
        <v>10</v>
      </c>
      <c r="E123">
        <v>159.21</v>
      </c>
      <c r="F123" t="s">
        <v>8</v>
      </c>
      <c r="G123" t="str">
        <f t="shared" si="2"/>
        <v>February</v>
      </c>
      <c r="H123" t="str">
        <f t="shared" si="3"/>
        <v>Tuesday</v>
      </c>
    </row>
    <row r="124" spans="1:8" x14ac:dyDescent="0.3">
      <c r="A124" s="1">
        <v>44612</v>
      </c>
      <c r="B124" t="s">
        <v>17</v>
      </c>
      <c r="C124" t="s">
        <v>7</v>
      </c>
      <c r="D124">
        <v>18</v>
      </c>
      <c r="E124">
        <v>195.1</v>
      </c>
      <c r="F124" t="s">
        <v>11</v>
      </c>
      <c r="G124" t="str">
        <f t="shared" si="2"/>
        <v>February</v>
      </c>
      <c r="H124" t="str">
        <f t="shared" si="3"/>
        <v>Sunday</v>
      </c>
    </row>
    <row r="125" spans="1:8" x14ac:dyDescent="0.3">
      <c r="A125" s="1">
        <v>44794</v>
      </c>
      <c r="B125" t="s">
        <v>18</v>
      </c>
      <c r="C125" t="s">
        <v>24</v>
      </c>
      <c r="D125">
        <v>19</v>
      </c>
      <c r="E125">
        <v>386.61</v>
      </c>
      <c r="F125" t="s">
        <v>16</v>
      </c>
      <c r="G125" t="str">
        <f t="shared" si="2"/>
        <v>August</v>
      </c>
      <c r="H125" t="str">
        <f t="shared" si="3"/>
        <v>Sunday</v>
      </c>
    </row>
    <row r="126" spans="1:8" x14ac:dyDescent="0.3">
      <c r="A126" s="1">
        <v>44770</v>
      </c>
      <c r="B126" t="s">
        <v>15</v>
      </c>
      <c r="C126" t="s">
        <v>13</v>
      </c>
      <c r="D126">
        <v>1</v>
      </c>
      <c r="E126">
        <v>22.99</v>
      </c>
      <c r="F126" t="s">
        <v>16</v>
      </c>
      <c r="G126" t="str">
        <f t="shared" si="2"/>
        <v>July</v>
      </c>
      <c r="H126" t="str">
        <f t="shared" si="3"/>
        <v>Thursday</v>
      </c>
    </row>
    <row r="127" spans="1:8" x14ac:dyDescent="0.3">
      <c r="A127" s="1">
        <v>44710</v>
      </c>
      <c r="B127" t="s">
        <v>12</v>
      </c>
      <c r="C127" t="s">
        <v>19</v>
      </c>
      <c r="D127">
        <v>17</v>
      </c>
      <c r="E127">
        <v>290.44</v>
      </c>
      <c r="F127" t="s">
        <v>14</v>
      </c>
      <c r="G127" t="str">
        <f t="shared" si="2"/>
        <v>May</v>
      </c>
      <c r="H127" t="str">
        <f t="shared" si="3"/>
        <v>Sunday</v>
      </c>
    </row>
    <row r="128" spans="1:8" x14ac:dyDescent="0.3">
      <c r="A128" s="1">
        <v>44700</v>
      </c>
      <c r="B128" t="s">
        <v>6</v>
      </c>
      <c r="C128" t="s">
        <v>24</v>
      </c>
      <c r="D128">
        <v>5</v>
      </c>
      <c r="E128">
        <v>79.459999999999994</v>
      </c>
      <c r="F128" t="s">
        <v>22</v>
      </c>
      <c r="G128" t="str">
        <f t="shared" si="2"/>
        <v>May</v>
      </c>
      <c r="H128" t="str">
        <f t="shared" si="3"/>
        <v>Thursday</v>
      </c>
    </row>
    <row r="129" spans="1:8" x14ac:dyDescent="0.3">
      <c r="A129" s="1">
        <v>44787</v>
      </c>
      <c r="B129" t="s">
        <v>17</v>
      </c>
      <c r="C129" t="s">
        <v>10</v>
      </c>
      <c r="D129">
        <v>2</v>
      </c>
      <c r="E129">
        <v>48.19</v>
      </c>
      <c r="F129" t="s">
        <v>14</v>
      </c>
      <c r="G129" t="str">
        <f t="shared" si="2"/>
        <v>August</v>
      </c>
      <c r="H129" t="str">
        <f t="shared" si="3"/>
        <v>Sunday</v>
      </c>
    </row>
    <row r="130" spans="1:8" x14ac:dyDescent="0.3">
      <c r="A130" s="1">
        <v>44571</v>
      </c>
      <c r="B130" t="s">
        <v>12</v>
      </c>
      <c r="C130" t="s">
        <v>20</v>
      </c>
      <c r="D130">
        <v>19</v>
      </c>
      <c r="E130">
        <v>166.83</v>
      </c>
      <c r="F130" t="s">
        <v>22</v>
      </c>
      <c r="G130" t="str">
        <f t="shared" si="2"/>
        <v>January</v>
      </c>
      <c r="H130" t="str">
        <f t="shared" si="3"/>
        <v>Monday</v>
      </c>
    </row>
    <row r="131" spans="1:8" x14ac:dyDescent="0.3">
      <c r="A131" s="1">
        <v>44654</v>
      </c>
      <c r="B131" t="s">
        <v>15</v>
      </c>
      <c r="C131" t="s">
        <v>23</v>
      </c>
      <c r="D131">
        <v>3</v>
      </c>
      <c r="E131">
        <v>40.32</v>
      </c>
      <c r="F131" t="s">
        <v>16</v>
      </c>
      <c r="G131" t="str">
        <f t="shared" ref="G131:G194" si="4">TEXT(A131,"mmmm")</f>
        <v>April</v>
      </c>
      <c r="H131" t="str">
        <f t="shared" ref="H131:H194" si="5">TEXT(A131,"dddd")</f>
        <v>Sunday</v>
      </c>
    </row>
    <row r="132" spans="1:8" x14ac:dyDescent="0.3">
      <c r="A132" s="1">
        <v>44739</v>
      </c>
      <c r="B132" t="s">
        <v>21</v>
      </c>
      <c r="C132" t="s">
        <v>23</v>
      </c>
      <c r="D132">
        <v>15</v>
      </c>
      <c r="E132">
        <v>176.45</v>
      </c>
      <c r="F132" t="s">
        <v>16</v>
      </c>
      <c r="G132" t="str">
        <f t="shared" si="4"/>
        <v>June</v>
      </c>
      <c r="H132" t="str">
        <f t="shared" si="5"/>
        <v>Monday</v>
      </c>
    </row>
    <row r="133" spans="1:8" x14ac:dyDescent="0.3">
      <c r="A133" s="1">
        <v>44646</v>
      </c>
      <c r="B133" t="s">
        <v>9</v>
      </c>
      <c r="C133" t="s">
        <v>10</v>
      </c>
      <c r="D133">
        <v>1</v>
      </c>
      <c r="E133">
        <v>9.4</v>
      </c>
      <c r="F133" t="s">
        <v>14</v>
      </c>
      <c r="G133" t="str">
        <f t="shared" si="4"/>
        <v>March</v>
      </c>
      <c r="H133" t="str">
        <f t="shared" si="5"/>
        <v>Saturday</v>
      </c>
    </row>
    <row r="134" spans="1:8" x14ac:dyDescent="0.3">
      <c r="A134" s="1">
        <v>44590</v>
      </c>
      <c r="B134" t="s">
        <v>21</v>
      </c>
      <c r="C134" t="s">
        <v>23</v>
      </c>
      <c r="D134">
        <v>11</v>
      </c>
      <c r="E134">
        <v>176.73</v>
      </c>
      <c r="F134" t="s">
        <v>8</v>
      </c>
      <c r="G134" t="str">
        <f t="shared" si="4"/>
        <v>January</v>
      </c>
      <c r="H134" t="str">
        <f t="shared" si="5"/>
        <v>Saturday</v>
      </c>
    </row>
    <row r="135" spans="1:8" x14ac:dyDescent="0.3">
      <c r="A135" s="1">
        <v>44630</v>
      </c>
      <c r="B135" t="s">
        <v>6</v>
      </c>
      <c r="C135" t="s">
        <v>7</v>
      </c>
      <c r="D135">
        <v>16</v>
      </c>
      <c r="E135">
        <v>235.83</v>
      </c>
      <c r="F135" t="s">
        <v>11</v>
      </c>
      <c r="G135" t="str">
        <f t="shared" si="4"/>
        <v>March</v>
      </c>
      <c r="H135" t="str">
        <f t="shared" si="5"/>
        <v>Thursday</v>
      </c>
    </row>
    <row r="136" spans="1:8" x14ac:dyDescent="0.3">
      <c r="A136" s="1">
        <v>44600</v>
      </c>
      <c r="B136" t="s">
        <v>15</v>
      </c>
      <c r="C136" t="s">
        <v>24</v>
      </c>
      <c r="D136">
        <v>11</v>
      </c>
      <c r="E136">
        <v>106.76</v>
      </c>
      <c r="F136" t="s">
        <v>11</v>
      </c>
      <c r="G136" t="str">
        <f t="shared" si="4"/>
        <v>February</v>
      </c>
      <c r="H136" t="str">
        <f t="shared" si="5"/>
        <v>Tuesday</v>
      </c>
    </row>
    <row r="137" spans="1:8" x14ac:dyDescent="0.3">
      <c r="A137" s="1">
        <v>44766</v>
      </c>
      <c r="B137" t="s">
        <v>12</v>
      </c>
      <c r="C137" t="s">
        <v>7</v>
      </c>
      <c r="D137">
        <v>12</v>
      </c>
      <c r="E137">
        <v>100.6</v>
      </c>
      <c r="F137" t="s">
        <v>16</v>
      </c>
      <c r="G137" t="str">
        <f t="shared" si="4"/>
        <v>July</v>
      </c>
      <c r="H137" t="str">
        <f t="shared" si="5"/>
        <v>Sunday</v>
      </c>
    </row>
    <row r="138" spans="1:8" x14ac:dyDescent="0.3">
      <c r="A138" s="1">
        <v>44642</v>
      </c>
      <c r="B138" t="s">
        <v>18</v>
      </c>
      <c r="C138" t="s">
        <v>23</v>
      </c>
      <c r="D138">
        <v>11</v>
      </c>
      <c r="E138">
        <v>214</v>
      </c>
      <c r="F138" t="s">
        <v>11</v>
      </c>
      <c r="G138" t="str">
        <f t="shared" si="4"/>
        <v>March</v>
      </c>
      <c r="H138" t="str">
        <f t="shared" si="5"/>
        <v>Tuesday</v>
      </c>
    </row>
    <row r="139" spans="1:8" x14ac:dyDescent="0.3">
      <c r="A139" s="1">
        <v>44686</v>
      </c>
      <c r="B139" t="s">
        <v>17</v>
      </c>
      <c r="C139" t="s">
        <v>10</v>
      </c>
      <c r="D139">
        <v>13</v>
      </c>
      <c r="E139">
        <v>315.98</v>
      </c>
      <c r="F139" t="s">
        <v>22</v>
      </c>
      <c r="G139" t="str">
        <f t="shared" si="4"/>
        <v>May</v>
      </c>
      <c r="H139" t="str">
        <f t="shared" si="5"/>
        <v>Thursday</v>
      </c>
    </row>
    <row r="140" spans="1:8" x14ac:dyDescent="0.3">
      <c r="A140" s="1">
        <v>44603</v>
      </c>
      <c r="B140" t="s">
        <v>17</v>
      </c>
      <c r="C140" t="s">
        <v>19</v>
      </c>
      <c r="D140">
        <v>1</v>
      </c>
      <c r="E140">
        <v>13.06</v>
      </c>
      <c r="F140" t="s">
        <v>22</v>
      </c>
      <c r="G140" t="str">
        <f t="shared" si="4"/>
        <v>February</v>
      </c>
      <c r="H140" t="str">
        <f t="shared" si="5"/>
        <v>Friday</v>
      </c>
    </row>
    <row r="141" spans="1:8" x14ac:dyDescent="0.3">
      <c r="A141" s="1">
        <v>44619</v>
      </c>
      <c r="B141" t="s">
        <v>12</v>
      </c>
      <c r="C141" t="s">
        <v>13</v>
      </c>
      <c r="D141">
        <v>3</v>
      </c>
      <c r="E141">
        <v>44.25</v>
      </c>
      <c r="F141" t="s">
        <v>22</v>
      </c>
      <c r="G141" t="str">
        <f t="shared" si="4"/>
        <v>February</v>
      </c>
      <c r="H141" t="str">
        <f t="shared" si="5"/>
        <v>Sunday</v>
      </c>
    </row>
    <row r="142" spans="1:8" x14ac:dyDescent="0.3">
      <c r="A142" s="1">
        <v>44760</v>
      </c>
      <c r="B142" t="s">
        <v>6</v>
      </c>
      <c r="C142" t="s">
        <v>13</v>
      </c>
      <c r="D142">
        <v>5</v>
      </c>
      <c r="E142">
        <v>97.26</v>
      </c>
      <c r="F142" t="s">
        <v>11</v>
      </c>
      <c r="G142" t="str">
        <f t="shared" si="4"/>
        <v>July</v>
      </c>
      <c r="H142" t="str">
        <f t="shared" si="5"/>
        <v>Monday</v>
      </c>
    </row>
    <row r="143" spans="1:8" x14ac:dyDescent="0.3">
      <c r="A143" s="1">
        <v>44771</v>
      </c>
      <c r="B143" t="s">
        <v>9</v>
      </c>
      <c r="C143" t="s">
        <v>23</v>
      </c>
      <c r="D143">
        <v>20</v>
      </c>
      <c r="E143">
        <v>380.27</v>
      </c>
      <c r="F143" t="s">
        <v>11</v>
      </c>
      <c r="G143" t="str">
        <f t="shared" si="4"/>
        <v>July</v>
      </c>
      <c r="H143" t="str">
        <f t="shared" si="5"/>
        <v>Friday</v>
      </c>
    </row>
    <row r="144" spans="1:8" x14ac:dyDescent="0.3">
      <c r="A144" s="1">
        <v>44665</v>
      </c>
      <c r="B144" t="s">
        <v>6</v>
      </c>
      <c r="C144" t="s">
        <v>23</v>
      </c>
      <c r="D144">
        <v>9</v>
      </c>
      <c r="E144">
        <v>79.13</v>
      </c>
      <c r="F144" t="s">
        <v>14</v>
      </c>
      <c r="G144" t="str">
        <f t="shared" si="4"/>
        <v>April</v>
      </c>
      <c r="H144" t="str">
        <f t="shared" si="5"/>
        <v>Thursday</v>
      </c>
    </row>
    <row r="145" spans="1:8" x14ac:dyDescent="0.3">
      <c r="A145" s="1">
        <v>44735</v>
      </c>
      <c r="B145" t="s">
        <v>17</v>
      </c>
      <c r="C145" t="s">
        <v>19</v>
      </c>
      <c r="D145">
        <v>3</v>
      </c>
      <c r="E145">
        <v>56.2</v>
      </c>
      <c r="F145" t="s">
        <v>8</v>
      </c>
      <c r="G145" t="str">
        <f t="shared" si="4"/>
        <v>June</v>
      </c>
      <c r="H145" t="str">
        <f t="shared" si="5"/>
        <v>Thursday</v>
      </c>
    </row>
    <row r="146" spans="1:8" x14ac:dyDescent="0.3">
      <c r="A146" s="1">
        <v>44717</v>
      </c>
      <c r="B146" t="s">
        <v>18</v>
      </c>
      <c r="C146" t="s">
        <v>19</v>
      </c>
      <c r="D146">
        <v>7</v>
      </c>
      <c r="E146">
        <v>156.91999999999999</v>
      </c>
      <c r="F146" t="s">
        <v>11</v>
      </c>
      <c r="G146" t="str">
        <f t="shared" si="4"/>
        <v>June</v>
      </c>
      <c r="H146" t="str">
        <f t="shared" si="5"/>
        <v>Sunday</v>
      </c>
    </row>
    <row r="147" spans="1:8" x14ac:dyDescent="0.3">
      <c r="A147" s="1">
        <v>44699</v>
      </c>
      <c r="B147" t="s">
        <v>9</v>
      </c>
      <c r="C147" t="s">
        <v>13</v>
      </c>
      <c r="D147">
        <v>13</v>
      </c>
      <c r="E147">
        <v>187.47</v>
      </c>
      <c r="F147" t="s">
        <v>22</v>
      </c>
      <c r="G147" t="str">
        <f t="shared" si="4"/>
        <v>May</v>
      </c>
      <c r="H147" t="str">
        <f t="shared" si="5"/>
        <v>Wednesday</v>
      </c>
    </row>
    <row r="148" spans="1:8" x14ac:dyDescent="0.3">
      <c r="A148" s="1">
        <v>44695</v>
      </c>
      <c r="B148" t="s">
        <v>17</v>
      </c>
      <c r="C148" t="s">
        <v>7</v>
      </c>
      <c r="D148">
        <v>14</v>
      </c>
      <c r="E148">
        <v>234.19</v>
      </c>
      <c r="F148" t="s">
        <v>16</v>
      </c>
      <c r="G148" t="str">
        <f t="shared" si="4"/>
        <v>May</v>
      </c>
      <c r="H148" t="str">
        <f t="shared" si="5"/>
        <v>Saturday</v>
      </c>
    </row>
    <row r="149" spans="1:8" x14ac:dyDescent="0.3">
      <c r="A149" s="1">
        <v>44677</v>
      </c>
      <c r="B149" t="s">
        <v>9</v>
      </c>
      <c r="C149" t="s">
        <v>10</v>
      </c>
      <c r="D149">
        <v>12</v>
      </c>
      <c r="E149">
        <v>248.77</v>
      </c>
      <c r="F149" t="s">
        <v>16</v>
      </c>
      <c r="G149" t="str">
        <f t="shared" si="4"/>
        <v>April</v>
      </c>
      <c r="H149" t="str">
        <f t="shared" si="5"/>
        <v>Tuesday</v>
      </c>
    </row>
    <row r="150" spans="1:8" x14ac:dyDescent="0.3">
      <c r="A150" s="1">
        <v>44580</v>
      </c>
      <c r="B150" t="s">
        <v>15</v>
      </c>
      <c r="C150" t="s">
        <v>24</v>
      </c>
      <c r="D150">
        <v>11</v>
      </c>
      <c r="E150">
        <v>224.04</v>
      </c>
      <c r="F150" t="s">
        <v>11</v>
      </c>
      <c r="G150" t="str">
        <f t="shared" si="4"/>
        <v>January</v>
      </c>
      <c r="H150" t="str">
        <f t="shared" si="5"/>
        <v>Wednesday</v>
      </c>
    </row>
    <row r="151" spans="1:8" x14ac:dyDescent="0.3">
      <c r="A151" s="1">
        <v>44687</v>
      </c>
      <c r="B151" t="s">
        <v>15</v>
      </c>
      <c r="C151" t="s">
        <v>24</v>
      </c>
      <c r="D151">
        <v>8</v>
      </c>
      <c r="E151">
        <v>88.55</v>
      </c>
      <c r="F151" t="s">
        <v>11</v>
      </c>
      <c r="G151" t="str">
        <f t="shared" si="4"/>
        <v>May</v>
      </c>
      <c r="H151" t="str">
        <f t="shared" si="5"/>
        <v>Friday</v>
      </c>
    </row>
    <row r="152" spans="1:8" x14ac:dyDescent="0.3">
      <c r="A152" s="1">
        <v>44622</v>
      </c>
      <c r="B152" t="s">
        <v>12</v>
      </c>
      <c r="C152" t="s">
        <v>23</v>
      </c>
      <c r="D152">
        <v>20</v>
      </c>
      <c r="E152">
        <v>302.63</v>
      </c>
      <c r="F152" t="s">
        <v>14</v>
      </c>
      <c r="G152" t="str">
        <f t="shared" si="4"/>
        <v>March</v>
      </c>
      <c r="H152" t="str">
        <f t="shared" si="5"/>
        <v>Wednesday</v>
      </c>
    </row>
    <row r="153" spans="1:8" x14ac:dyDescent="0.3">
      <c r="A153" s="1">
        <v>44615</v>
      </c>
      <c r="B153" t="s">
        <v>6</v>
      </c>
      <c r="C153" t="s">
        <v>7</v>
      </c>
      <c r="D153">
        <v>6</v>
      </c>
      <c r="E153">
        <v>127.61</v>
      </c>
      <c r="F153" t="s">
        <v>16</v>
      </c>
      <c r="G153" t="str">
        <f t="shared" si="4"/>
        <v>February</v>
      </c>
      <c r="H153" t="str">
        <f t="shared" si="5"/>
        <v>Wednesday</v>
      </c>
    </row>
    <row r="154" spans="1:8" x14ac:dyDescent="0.3">
      <c r="A154" s="1">
        <v>44759</v>
      </c>
      <c r="B154" t="s">
        <v>15</v>
      </c>
      <c r="C154" t="s">
        <v>24</v>
      </c>
      <c r="D154">
        <v>7</v>
      </c>
      <c r="E154">
        <v>85.93</v>
      </c>
      <c r="F154" t="s">
        <v>11</v>
      </c>
      <c r="G154" t="str">
        <f t="shared" si="4"/>
        <v>July</v>
      </c>
      <c r="H154" t="str">
        <f t="shared" si="5"/>
        <v>Sunday</v>
      </c>
    </row>
    <row r="155" spans="1:8" x14ac:dyDescent="0.3">
      <c r="A155" s="1">
        <v>44652</v>
      </c>
      <c r="B155" t="s">
        <v>12</v>
      </c>
      <c r="C155" t="s">
        <v>20</v>
      </c>
      <c r="D155">
        <v>9</v>
      </c>
      <c r="E155">
        <v>112.85</v>
      </c>
      <c r="F155" t="s">
        <v>16</v>
      </c>
      <c r="G155" t="str">
        <f t="shared" si="4"/>
        <v>April</v>
      </c>
      <c r="H155" t="str">
        <f t="shared" si="5"/>
        <v>Friday</v>
      </c>
    </row>
    <row r="156" spans="1:8" x14ac:dyDescent="0.3">
      <c r="A156" s="1">
        <v>44775</v>
      </c>
      <c r="B156" t="s">
        <v>21</v>
      </c>
      <c r="C156" t="s">
        <v>10</v>
      </c>
      <c r="D156">
        <v>2</v>
      </c>
      <c r="E156">
        <v>18.27</v>
      </c>
      <c r="F156" t="s">
        <v>16</v>
      </c>
      <c r="G156" t="str">
        <f t="shared" si="4"/>
        <v>August</v>
      </c>
      <c r="H156" t="str">
        <f t="shared" si="5"/>
        <v>Tuesday</v>
      </c>
    </row>
    <row r="157" spans="1:8" x14ac:dyDescent="0.3">
      <c r="A157" s="1">
        <v>44774</v>
      </c>
      <c r="B157" t="s">
        <v>17</v>
      </c>
      <c r="C157" t="s">
        <v>24</v>
      </c>
      <c r="D157">
        <v>6</v>
      </c>
      <c r="E157">
        <v>55.27</v>
      </c>
      <c r="F157" t="s">
        <v>8</v>
      </c>
      <c r="G157" t="str">
        <f t="shared" si="4"/>
        <v>August</v>
      </c>
      <c r="H157" t="str">
        <f t="shared" si="5"/>
        <v>Monday</v>
      </c>
    </row>
    <row r="158" spans="1:8" x14ac:dyDescent="0.3">
      <c r="A158" s="1">
        <v>44738</v>
      </c>
      <c r="B158" t="s">
        <v>15</v>
      </c>
      <c r="C158" t="s">
        <v>23</v>
      </c>
      <c r="D158">
        <v>11</v>
      </c>
      <c r="E158">
        <v>186.86</v>
      </c>
      <c r="F158" t="s">
        <v>22</v>
      </c>
      <c r="G158" t="str">
        <f t="shared" si="4"/>
        <v>June</v>
      </c>
      <c r="H158" t="str">
        <f t="shared" si="5"/>
        <v>Sunday</v>
      </c>
    </row>
    <row r="159" spans="1:8" x14ac:dyDescent="0.3">
      <c r="A159" s="1">
        <v>44704</v>
      </c>
      <c r="B159" t="s">
        <v>15</v>
      </c>
      <c r="C159" t="s">
        <v>20</v>
      </c>
      <c r="D159">
        <v>17</v>
      </c>
      <c r="E159">
        <v>350.78</v>
      </c>
      <c r="F159" t="s">
        <v>14</v>
      </c>
      <c r="G159" t="str">
        <f t="shared" si="4"/>
        <v>May</v>
      </c>
      <c r="H159" t="str">
        <f t="shared" si="5"/>
        <v>Monday</v>
      </c>
    </row>
    <row r="160" spans="1:8" x14ac:dyDescent="0.3">
      <c r="A160" s="1">
        <v>44723</v>
      </c>
      <c r="B160" t="s">
        <v>21</v>
      </c>
      <c r="C160" t="s">
        <v>20</v>
      </c>
      <c r="D160">
        <v>2</v>
      </c>
      <c r="E160">
        <v>46.75</v>
      </c>
      <c r="F160" t="s">
        <v>8</v>
      </c>
      <c r="G160" t="str">
        <f t="shared" si="4"/>
        <v>June</v>
      </c>
      <c r="H160" t="str">
        <f t="shared" si="5"/>
        <v>Saturday</v>
      </c>
    </row>
    <row r="161" spans="1:8" x14ac:dyDescent="0.3">
      <c r="A161" s="1">
        <v>44705</v>
      </c>
      <c r="B161" t="s">
        <v>15</v>
      </c>
      <c r="C161" t="s">
        <v>13</v>
      </c>
      <c r="D161">
        <v>19</v>
      </c>
      <c r="E161">
        <v>326.36</v>
      </c>
      <c r="F161" t="s">
        <v>22</v>
      </c>
      <c r="G161" t="str">
        <f t="shared" si="4"/>
        <v>May</v>
      </c>
      <c r="H161" t="str">
        <f t="shared" si="5"/>
        <v>Tuesday</v>
      </c>
    </row>
    <row r="162" spans="1:8" x14ac:dyDescent="0.3">
      <c r="A162" s="1">
        <v>44704</v>
      </c>
      <c r="B162" t="s">
        <v>17</v>
      </c>
      <c r="C162" t="s">
        <v>23</v>
      </c>
      <c r="D162">
        <v>1</v>
      </c>
      <c r="E162">
        <v>12.41</v>
      </c>
      <c r="F162" t="s">
        <v>8</v>
      </c>
      <c r="G162" t="str">
        <f t="shared" si="4"/>
        <v>May</v>
      </c>
      <c r="H162" t="str">
        <f t="shared" si="5"/>
        <v>Monday</v>
      </c>
    </row>
    <row r="163" spans="1:8" x14ac:dyDescent="0.3">
      <c r="A163" s="1">
        <v>44690</v>
      </c>
      <c r="B163" t="s">
        <v>17</v>
      </c>
      <c r="C163" t="s">
        <v>10</v>
      </c>
      <c r="D163">
        <v>15</v>
      </c>
      <c r="E163">
        <v>223.3</v>
      </c>
      <c r="F163" t="s">
        <v>14</v>
      </c>
      <c r="G163" t="str">
        <f t="shared" si="4"/>
        <v>May</v>
      </c>
      <c r="H163" t="str">
        <f t="shared" si="5"/>
        <v>Monday</v>
      </c>
    </row>
    <row r="164" spans="1:8" x14ac:dyDescent="0.3">
      <c r="A164" s="1">
        <v>44593</v>
      </c>
      <c r="B164" t="s">
        <v>18</v>
      </c>
      <c r="C164" t="s">
        <v>23</v>
      </c>
      <c r="D164">
        <v>19</v>
      </c>
      <c r="E164">
        <v>202.9</v>
      </c>
      <c r="F164" t="s">
        <v>22</v>
      </c>
      <c r="G164" t="str">
        <f t="shared" si="4"/>
        <v>February</v>
      </c>
      <c r="H164" t="str">
        <f t="shared" si="5"/>
        <v>Tuesday</v>
      </c>
    </row>
    <row r="165" spans="1:8" x14ac:dyDescent="0.3">
      <c r="A165" s="1">
        <v>44774</v>
      </c>
      <c r="B165" t="s">
        <v>6</v>
      </c>
      <c r="C165" t="s">
        <v>7</v>
      </c>
      <c r="D165">
        <v>3</v>
      </c>
      <c r="E165">
        <v>56.22</v>
      </c>
      <c r="F165" t="s">
        <v>16</v>
      </c>
      <c r="G165" t="str">
        <f t="shared" si="4"/>
        <v>August</v>
      </c>
      <c r="H165" t="str">
        <f t="shared" si="5"/>
        <v>Monday</v>
      </c>
    </row>
    <row r="166" spans="1:8" x14ac:dyDescent="0.3">
      <c r="A166" s="1">
        <v>44796</v>
      </c>
      <c r="B166" t="s">
        <v>15</v>
      </c>
      <c r="C166" t="s">
        <v>24</v>
      </c>
      <c r="D166">
        <v>10</v>
      </c>
      <c r="E166">
        <v>246.29</v>
      </c>
      <c r="F166" t="s">
        <v>8</v>
      </c>
      <c r="G166" t="str">
        <f t="shared" si="4"/>
        <v>August</v>
      </c>
      <c r="H166" t="str">
        <f t="shared" si="5"/>
        <v>Tuesday</v>
      </c>
    </row>
    <row r="167" spans="1:8" x14ac:dyDescent="0.3">
      <c r="A167" s="1">
        <v>44662</v>
      </c>
      <c r="B167" t="s">
        <v>12</v>
      </c>
      <c r="C167" t="s">
        <v>13</v>
      </c>
      <c r="D167">
        <v>18</v>
      </c>
      <c r="E167">
        <v>329.35</v>
      </c>
      <c r="F167" t="s">
        <v>22</v>
      </c>
      <c r="G167" t="str">
        <f t="shared" si="4"/>
        <v>April</v>
      </c>
      <c r="H167" t="str">
        <f t="shared" si="5"/>
        <v>Monday</v>
      </c>
    </row>
    <row r="168" spans="1:8" x14ac:dyDescent="0.3">
      <c r="A168" s="1">
        <v>44670</v>
      </c>
      <c r="B168" t="s">
        <v>18</v>
      </c>
      <c r="C168" t="s">
        <v>20</v>
      </c>
      <c r="D168">
        <v>14</v>
      </c>
      <c r="E168">
        <v>349.22</v>
      </c>
      <c r="F168" t="s">
        <v>16</v>
      </c>
      <c r="G168" t="str">
        <f t="shared" si="4"/>
        <v>April</v>
      </c>
      <c r="H168" t="str">
        <f t="shared" si="5"/>
        <v>Tuesday</v>
      </c>
    </row>
    <row r="169" spans="1:8" x14ac:dyDescent="0.3">
      <c r="A169" s="1">
        <v>44603</v>
      </c>
      <c r="B169" t="s">
        <v>6</v>
      </c>
      <c r="C169" t="s">
        <v>23</v>
      </c>
      <c r="D169">
        <v>15</v>
      </c>
      <c r="E169">
        <v>268.43</v>
      </c>
      <c r="F169" t="s">
        <v>11</v>
      </c>
      <c r="G169" t="str">
        <f t="shared" si="4"/>
        <v>February</v>
      </c>
      <c r="H169" t="str">
        <f t="shared" si="5"/>
        <v>Friday</v>
      </c>
    </row>
    <row r="170" spans="1:8" x14ac:dyDescent="0.3">
      <c r="A170" s="1">
        <v>44613</v>
      </c>
      <c r="B170" t="s">
        <v>9</v>
      </c>
      <c r="C170" t="s">
        <v>20</v>
      </c>
      <c r="D170">
        <v>14</v>
      </c>
      <c r="E170">
        <v>319.69</v>
      </c>
      <c r="F170" t="s">
        <v>16</v>
      </c>
      <c r="G170" t="str">
        <f t="shared" si="4"/>
        <v>February</v>
      </c>
      <c r="H170" t="str">
        <f t="shared" si="5"/>
        <v>Monday</v>
      </c>
    </row>
    <row r="171" spans="1:8" x14ac:dyDescent="0.3">
      <c r="A171" s="1">
        <v>44735</v>
      </c>
      <c r="B171" t="s">
        <v>18</v>
      </c>
      <c r="C171" t="s">
        <v>24</v>
      </c>
      <c r="D171">
        <v>11</v>
      </c>
      <c r="E171">
        <v>166.88</v>
      </c>
      <c r="F171" t="s">
        <v>8</v>
      </c>
      <c r="G171" t="str">
        <f t="shared" si="4"/>
        <v>June</v>
      </c>
      <c r="H171" t="str">
        <f t="shared" si="5"/>
        <v>Thursday</v>
      </c>
    </row>
    <row r="172" spans="1:8" x14ac:dyDescent="0.3">
      <c r="A172" s="1">
        <v>44686</v>
      </c>
      <c r="B172" t="s">
        <v>6</v>
      </c>
      <c r="C172" t="s">
        <v>19</v>
      </c>
      <c r="D172">
        <v>2</v>
      </c>
      <c r="E172">
        <v>29.69</v>
      </c>
      <c r="F172" t="s">
        <v>22</v>
      </c>
      <c r="G172" t="str">
        <f t="shared" si="4"/>
        <v>May</v>
      </c>
      <c r="H172" t="str">
        <f t="shared" si="5"/>
        <v>Thursday</v>
      </c>
    </row>
    <row r="173" spans="1:8" x14ac:dyDescent="0.3">
      <c r="A173" s="1">
        <v>44675</v>
      </c>
      <c r="B173" t="s">
        <v>21</v>
      </c>
      <c r="C173" t="s">
        <v>10</v>
      </c>
      <c r="D173">
        <v>13</v>
      </c>
      <c r="E173">
        <v>193.09</v>
      </c>
      <c r="F173" t="s">
        <v>11</v>
      </c>
      <c r="G173" t="str">
        <f t="shared" si="4"/>
        <v>April</v>
      </c>
      <c r="H173" t="str">
        <f t="shared" si="5"/>
        <v>Sunday</v>
      </c>
    </row>
    <row r="174" spans="1:8" x14ac:dyDescent="0.3">
      <c r="A174" s="1">
        <v>44738</v>
      </c>
      <c r="B174" t="s">
        <v>21</v>
      </c>
      <c r="C174" t="s">
        <v>10</v>
      </c>
      <c r="D174">
        <v>16</v>
      </c>
      <c r="E174">
        <v>276.52999999999997</v>
      </c>
      <c r="F174" t="s">
        <v>22</v>
      </c>
      <c r="G174" t="str">
        <f t="shared" si="4"/>
        <v>June</v>
      </c>
      <c r="H174" t="str">
        <f t="shared" si="5"/>
        <v>Sunday</v>
      </c>
    </row>
    <row r="175" spans="1:8" x14ac:dyDescent="0.3">
      <c r="A175" s="1">
        <v>44794</v>
      </c>
      <c r="B175" t="s">
        <v>6</v>
      </c>
      <c r="C175" t="s">
        <v>10</v>
      </c>
      <c r="D175">
        <v>2</v>
      </c>
      <c r="E175">
        <v>49.91</v>
      </c>
      <c r="F175" t="s">
        <v>8</v>
      </c>
      <c r="G175" t="str">
        <f t="shared" si="4"/>
        <v>August</v>
      </c>
      <c r="H175" t="str">
        <f t="shared" si="5"/>
        <v>Sunday</v>
      </c>
    </row>
    <row r="176" spans="1:8" x14ac:dyDescent="0.3">
      <c r="A176" s="1">
        <v>44737</v>
      </c>
      <c r="B176" t="s">
        <v>15</v>
      </c>
      <c r="C176" t="s">
        <v>24</v>
      </c>
      <c r="D176">
        <v>16</v>
      </c>
      <c r="E176">
        <v>131.88</v>
      </c>
      <c r="F176" t="s">
        <v>8</v>
      </c>
      <c r="G176" t="str">
        <f t="shared" si="4"/>
        <v>June</v>
      </c>
      <c r="H176" t="str">
        <f t="shared" si="5"/>
        <v>Saturday</v>
      </c>
    </row>
    <row r="177" spans="1:8" x14ac:dyDescent="0.3">
      <c r="A177" s="1">
        <v>44600</v>
      </c>
      <c r="B177" t="s">
        <v>17</v>
      </c>
      <c r="C177" t="s">
        <v>23</v>
      </c>
      <c r="D177">
        <v>16</v>
      </c>
      <c r="E177">
        <v>306.63</v>
      </c>
      <c r="F177" t="s">
        <v>11</v>
      </c>
      <c r="G177" t="str">
        <f t="shared" si="4"/>
        <v>February</v>
      </c>
      <c r="H177" t="str">
        <f t="shared" si="5"/>
        <v>Tuesday</v>
      </c>
    </row>
    <row r="178" spans="1:8" x14ac:dyDescent="0.3">
      <c r="A178" s="1">
        <v>44753</v>
      </c>
      <c r="B178" t="s">
        <v>21</v>
      </c>
      <c r="C178" t="s">
        <v>13</v>
      </c>
      <c r="D178">
        <v>8</v>
      </c>
      <c r="E178">
        <v>162.66999999999999</v>
      </c>
      <c r="F178" t="s">
        <v>11</v>
      </c>
      <c r="G178" t="str">
        <f t="shared" si="4"/>
        <v>July</v>
      </c>
      <c r="H178" t="str">
        <f t="shared" si="5"/>
        <v>Monday</v>
      </c>
    </row>
    <row r="179" spans="1:8" x14ac:dyDescent="0.3">
      <c r="A179" s="1">
        <v>44766</v>
      </c>
      <c r="B179" t="s">
        <v>21</v>
      </c>
      <c r="C179" t="s">
        <v>19</v>
      </c>
      <c r="D179">
        <v>20</v>
      </c>
      <c r="E179">
        <v>216.6</v>
      </c>
      <c r="F179" t="s">
        <v>22</v>
      </c>
      <c r="G179" t="str">
        <f t="shared" si="4"/>
        <v>July</v>
      </c>
      <c r="H179" t="str">
        <f t="shared" si="5"/>
        <v>Sunday</v>
      </c>
    </row>
    <row r="180" spans="1:8" x14ac:dyDescent="0.3">
      <c r="A180" s="1">
        <v>44709</v>
      </c>
      <c r="B180" t="s">
        <v>9</v>
      </c>
      <c r="C180" t="s">
        <v>10</v>
      </c>
      <c r="D180">
        <v>20</v>
      </c>
      <c r="E180">
        <v>427.81</v>
      </c>
      <c r="F180" t="s">
        <v>16</v>
      </c>
      <c r="G180" t="str">
        <f t="shared" si="4"/>
        <v>May</v>
      </c>
      <c r="H180" t="str">
        <f t="shared" si="5"/>
        <v>Saturday</v>
      </c>
    </row>
    <row r="181" spans="1:8" x14ac:dyDescent="0.3">
      <c r="A181" s="1">
        <v>44706</v>
      </c>
      <c r="B181" t="s">
        <v>18</v>
      </c>
      <c r="C181" t="s">
        <v>19</v>
      </c>
      <c r="D181">
        <v>5</v>
      </c>
      <c r="E181">
        <v>79.489999999999995</v>
      </c>
      <c r="F181" t="s">
        <v>8</v>
      </c>
      <c r="G181" t="str">
        <f t="shared" si="4"/>
        <v>May</v>
      </c>
      <c r="H181" t="str">
        <f t="shared" si="5"/>
        <v>Wednesday</v>
      </c>
    </row>
    <row r="182" spans="1:8" x14ac:dyDescent="0.3">
      <c r="A182" s="1">
        <v>44728</v>
      </c>
      <c r="B182" t="s">
        <v>18</v>
      </c>
      <c r="C182" t="s">
        <v>7</v>
      </c>
      <c r="D182">
        <v>16</v>
      </c>
      <c r="E182">
        <v>300.37</v>
      </c>
      <c r="F182" t="s">
        <v>14</v>
      </c>
      <c r="G182" t="str">
        <f t="shared" si="4"/>
        <v>June</v>
      </c>
      <c r="H182" t="str">
        <f t="shared" si="5"/>
        <v>Thursday</v>
      </c>
    </row>
    <row r="183" spans="1:8" x14ac:dyDescent="0.3">
      <c r="A183" s="1">
        <v>44610</v>
      </c>
      <c r="B183" t="s">
        <v>17</v>
      </c>
      <c r="C183" t="s">
        <v>7</v>
      </c>
      <c r="D183">
        <v>3</v>
      </c>
      <c r="E183">
        <v>73.09</v>
      </c>
      <c r="F183" t="s">
        <v>11</v>
      </c>
      <c r="G183" t="str">
        <f t="shared" si="4"/>
        <v>February</v>
      </c>
      <c r="H183" t="str">
        <f t="shared" si="5"/>
        <v>Friday</v>
      </c>
    </row>
    <row r="184" spans="1:8" x14ac:dyDescent="0.3">
      <c r="A184" s="1">
        <v>44675</v>
      </c>
      <c r="B184" t="s">
        <v>6</v>
      </c>
      <c r="C184" t="s">
        <v>19</v>
      </c>
      <c r="D184">
        <v>11</v>
      </c>
      <c r="E184">
        <v>125.38</v>
      </c>
      <c r="F184" t="s">
        <v>16</v>
      </c>
      <c r="G184" t="str">
        <f t="shared" si="4"/>
        <v>April</v>
      </c>
      <c r="H184" t="str">
        <f t="shared" si="5"/>
        <v>Sunday</v>
      </c>
    </row>
    <row r="185" spans="1:8" x14ac:dyDescent="0.3">
      <c r="A185" s="1">
        <v>44699</v>
      </c>
      <c r="B185" t="s">
        <v>9</v>
      </c>
      <c r="C185" t="s">
        <v>10</v>
      </c>
      <c r="D185">
        <v>15</v>
      </c>
      <c r="E185">
        <v>155.47999999999999</v>
      </c>
      <c r="F185" t="s">
        <v>16</v>
      </c>
      <c r="G185" t="str">
        <f t="shared" si="4"/>
        <v>May</v>
      </c>
      <c r="H185" t="str">
        <f t="shared" si="5"/>
        <v>Wednesday</v>
      </c>
    </row>
    <row r="186" spans="1:8" x14ac:dyDescent="0.3">
      <c r="A186" s="1">
        <v>44756</v>
      </c>
      <c r="B186" t="s">
        <v>12</v>
      </c>
      <c r="C186" t="s">
        <v>13</v>
      </c>
      <c r="D186">
        <v>16</v>
      </c>
      <c r="E186">
        <v>340.68</v>
      </c>
      <c r="F186" t="s">
        <v>14</v>
      </c>
      <c r="G186" t="str">
        <f t="shared" si="4"/>
        <v>July</v>
      </c>
      <c r="H186" t="str">
        <f t="shared" si="5"/>
        <v>Thursday</v>
      </c>
    </row>
    <row r="187" spans="1:8" x14ac:dyDescent="0.3">
      <c r="A187" s="1">
        <v>44765</v>
      </c>
      <c r="B187" t="s">
        <v>6</v>
      </c>
      <c r="C187" t="s">
        <v>7</v>
      </c>
      <c r="D187">
        <v>5</v>
      </c>
      <c r="E187">
        <v>49.44</v>
      </c>
      <c r="F187" t="s">
        <v>8</v>
      </c>
      <c r="G187" t="str">
        <f t="shared" si="4"/>
        <v>July</v>
      </c>
      <c r="H187" t="str">
        <f t="shared" si="5"/>
        <v>Saturday</v>
      </c>
    </row>
    <row r="188" spans="1:8" x14ac:dyDescent="0.3">
      <c r="A188" s="1">
        <v>44744</v>
      </c>
      <c r="B188" t="s">
        <v>9</v>
      </c>
      <c r="C188" t="s">
        <v>23</v>
      </c>
      <c r="D188">
        <v>14</v>
      </c>
      <c r="E188">
        <v>344.7</v>
      </c>
      <c r="F188" t="s">
        <v>16</v>
      </c>
      <c r="G188" t="str">
        <f t="shared" si="4"/>
        <v>July</v>
      </c>
      <c r="H188" t="str">
        <f t="shared" si="5"/>
        <v>Saturday</v>
      </c>
    </row>
    <row r="189" spans="1:8" x14ac:dyDescent="0.3">
      <c r="A189" s="1">
        <v>44748</v>
      </c>
      <c r="B189" t="s">
        <v>17</v>
      </c>
      <c r="C189" t="s">
        <v>7</v>
      </c>
      <c r="D189">
        <v>5</v>
      </c>
      <c r="E189">
        <v>95.03</v>
      </c>
      <c r="F189" t="s">
        <v>8</v>
      </c>
      <c r="G189" t="str">
        <f t="shared" si="4"/>
        <v>July</v>
      </c>
      <c r="H189" t="str">
        <f t="shared" si="5"/>
        <v>Wednesday</v>
      </c>
    </row>
    <row r="190" spans="1:8" x14ac:dyDescent="0.3">
      <c r="A190" s="1">
        <v>44673</v>
      </c>
      <c r="B190" t="s">
        <v>17</v>
      </c>
      <c r="C190" t="s">
        <v>20</v>
      </c>
      <c r="D190">
        <v>3</v>
      </c>
      <c r="E190">
        <v>52.4</v>
      </c>
      <c r="F190" t="s">
        <v>16</v>
      </c>
      <c r="G190" t="str">
        <f t="shared" si="4"/>
        <v>April</v>
      </c>
      <c r="H190" t="str">
        <f t="shared" si="5"/>
        <v>Friday</v>
      </c>
    </row>
    <row r="191" spans="1:8" x14ac:dyDescent="0.3">
      <c r="A191" s="1">
        <v>44677</v>
      </c>
      <c r="B191" t="s">
        <v>18</v>
      </c>
      <c r="C191" t="s">
        <v>10</v>
      </c>
      <c r="D191">
        <v>5</v>
      </c>
      <c r="E191">
        <v>106.94</v>
      </c>
      <c r="F191" t="s">
        <v>16</v>
      </c>
      <c r="G191" t="str">
        <f t="shared" si="4"/>
        <v>April</v>
      </c>
      <c r="H191" t="str">
        <f t="shared" si="5"/>
        <v>Tuesday</v>
      </c>
    </row>
    <row r="192" spans="1:8" x14ac:dyDescent="0.3">
      <c r="A192" s="1">
        <v>44645</v>
      </c>
      <c r="B192" t="s">
        <v>9</v>
      </c>
      <c r="C192" t="s">
        <v>19</v>
      </c>
      <c r="D192">
        <v>5</v>
      </c>
      <c r="E192">
        <v>94.04</v>
      </c>
      <c r="F192" t="s">
        <v>16</v>
      </c>
      <c r="G192" t="str">
        <f t="shared" si="4"/>
        <v>March</v>
      </c>
      <c r="H192" t="str">
        <f t="shared" si="5"/>
        <v>Friday</v>
      </c>
    </row>
    <row r="193" spans="1:8" x14ac:dyDescent="0.3">
      <c r="A193" s="1">
        <v>44567</v>
      </c>
      <c r="B193" t="s">
        <v>17</v>
      </c>
      <c r="C193" t="s">
        <v>20</v>
      </c>
      <c r="D193">
        <v>3</v>
      </c>
      <c r="E193">
        <v>54.15</v>
      </c>
      <c r="F193" t="s">
        <v>11</v>
      </c>
      <c r="G193" t="str">
        <f t="shared" si="4"/>
        <v>January</v>
      </c>
      <c r="H193" t="str">
        <f t="shared" si="5"/>
        <v>Thursday</v>
      </c>
    </row>
    <row r="194" spans="1:8" x14ac:dyDescent="0.3">
      <c r="A194" s="1">
        <v>44681</v>
      </c>
      <c r="B194" t="s">
        <v>21</v>
      </c>
      <c r="C194" t="s">
        <v>13</v>
      </c>
      <c r="D194">
        <v>14</v>
      </c>
      <c r="E194">
        <v>115.82</v>
      </c>
      <c r="F194" t="s">
        <v>14</v>
      </c>
      <c r="G194" t="str">
        <f t="shared" si="4"/>
        <v>April</v>
      </c>
      <c r="H194" t="str">
        <f t="shared" si="5"/>
        <v>Saturday</v>
      </c>
    </row>
    <row r="195" spans="1:8" x14ac:dyDescent="0.3">
      <c r="A195" s="1">
        <v>44731</v>
      </c>
      <c r="B195" t="s">
        <v>21</v>
      </c>
      <c r="C195" t="s">
        <v>23</v>
      </c>
      <c r="D195">
        <v>9</v>
      </c>
      <c r="E195">
        <v>204</v>
      </c>
      <c r="F195" t="s">
        <v>14</v>
      </c>
      <c r="G195" t="str">
        <f t="shared" ref="G195:G258" si="6">TEXT(A195,"mmmm")</f>
        <v>June</v>
      </c>
      <c r="H195" t="str">
        <f t="shared" ref="H195:H258" si="7">TEXT(A195,"dddd")</f>
        <v>Sunday</v>
      </c>
    </row>
    <row r="196" spans="1:8" x14ac:dyDescent="0.3">
      <c r="A196" s="1">
        <v>44749</v>
      </c>
      <c r="B196" t="s">
        <v>21</v>
      </c>
      <c r="C196" t="s">
        <v>23</v>
      </c>
      <c r="D196">
        <v>1</v>
      </c>
      <c r="E196">
        <v>19.920000000000002</v>
      </c>
      <c r="F196" t="s">
        <v>14</v>
      </c>
      <c r="G196" t="str">
        <f t="shared" si="6"/>
        <v>July</v>
      </c>
      <c r="H196" t="str">
        <f t="shared" si="7"/>
        <v>Thursday</v>
      </c>
    </row>
    <row r="197" spans="1:8" x14ac:dyDescent="0.3">
      <c r="A197" s="1">
        <v>44708</v>
      </c>
      <c r="B197" t="s">
        <v>15</v>
      </c>
      <c r="C197" t="s">
        <v>13</v>
      </c>
      <c r="D197">
        <v>12</v>
      </c>
      <c r="E197">
        <v>151.09</v>
      </c>
      <c r="F197" t="s">
        <v>11</v>
      </c>
      <c r="G197" t="str">
        <f t="shared" si="6"/>
        <v>May</v>
      </c>
      <c r="H197" t="str">
        <f t="shared" si="7"/>
        <v>Friday</v>
      </c>
    </row>
    <row r="198" spans="1:8" x14ac:dyDescent="0.3">
      <c r="A198" s="1">
        <v>44769</v>
      </c>
      <c r="B198" t="s">
        <v>12</v>
      </c>
      <c r="C198" t="s">
        <v>19</v>
      </c>
      <c r="D198">
        <v>3</v>
      </c>
      <c r="E198">
        <v>59.89</v>
      </c>
      <c r="F198" t="s">
        <v>22</v>
      </c>
      <c r="G198" t="str">
        <f t="shared" si="6"/>
        <v>July</v>
      </c>
      <c r="H198" t="str">
        <f t="shared" si="7"/>
        <v>Wednesday</v>
      </c>
    </row>
    <row r="199" spans="1:8" x14ac:dyDescent="0.3">
      <c r="A199" s="1">
        <v>44712</v>
      </c>
      <c r="B199" t="s">
        <v>17</v>
      </c>
      <c r="C199" t="s">
        <v>13</v>
      </c>
      <c r="D199">
        <v>15</v>
      </c>
      <c r="E199">
        <v>363.94</v>
      </c>
      <c r="F199" t="s">
        <v>11</v>
      </c>
      <c r="G199" t="str">
        <f t="shared" si="6"/>
        <v>May</v>
      </c>
      <c r="H199" t="str">
        <f t="shared" si="7"/>
        <v>Tuesday</v>
      </c>
    </row>
    <row r="200" spans="1:8" x14ac:dyDescent="0.3">
      <c r="A200" s="1">
        <v>44699</v>
      </c>
      <c r="B200" t="s">
        <v>15</v>
      </c>
      <c r="C200" t="s">
        <v>20</v>
      </c>
      <c r="D200">
        <v>7</v>
      </c>
      <c r="E200">
        <v>91.95</v>
      </c>
      <c r="F200" t="s">
        <v>14</v>
      </c>
      <c r="G200" t="str">
        <f t="shared" si="6"/>
        <v>May</v>
      </c>
      <c r="H200" t="str">
        <f t="shared" si="7"/>
        <v>Wednesday</v>
      </c>
    </row>
    <row r="201" spans="1:8" x14ac:dyDescent="0.3">
      <c r="A201" s="1">
        <v>44728</v>
      </c>
      <c r="B201" t="s">
        <v>21</v>
      </c>
      <c r="C201" t="s">
        <v>19</v>
      </c>
      <c r="D201">
        <v>15</v>
      </c>
      <c r="E201">
        <v>150.34</v>
      </c>
      <c r="F201" t="s">
        <v>14</v>
      </c>
      <c r="G201" t="str">
        <f t="shared" si="6"/>
        <v>June</v>
      </c>
      <c r="H201" t="str">
        <f t="shared" si="7"/>
        <v>Thursday</v>
      </c>
    </row>
    <row r="202" spans="1:8" x14ac:dyDescent="0.3">
      <c r="A202" s="1">
        <v>44698</v>
      </c>
      <c r="B202" t="s">
        <v>21</v>
      </c>
      <c r="C202" t="s">
        <v>13</v>
      </c>
      <c r="D202">
        <v>17</v>
      </c>
      <c r="E202">
        <v>180.65</v>
      </c>
      <c r="F202" t="s">
        <v>8</v>
      </c>
      <c r="G202" t="str">
        <f t="shared" si="6"/>
        <v>May</v>
      </c>
      <c r="H202" t="str">
        <f t="shared" si="7"/>
        <v>Tuesday</v>
      </c>
    </row>
    <row r="203" spans="1:8" x14ac:dyDescent="0.3">
      <c r="A203" s="1">
        <v>44597</v>
      </c>
      <c r="B203" t="s">
        <v>15</v>
      </c>
      <c r="C203" t="s">
        <v>23</v>
      </c>
      <c r="D203">
        <v>8</v>
      </c>
      <c r="E203">
        <v>110.6</v>
      </c>
      <c r="F203" t="s">
        <v>22</v>
      </c>
      <c r="G203" t="str">
        <f t="shared" si="6"/>
        <v>February</v>
      </c>
      <c r="H203" t="str">
        <f t="shared" si="7"/>
        <v>Saturday</v>
      </c>
    </row>
    <row r="204" spans="1:8" x14ac:dyDescent="0.3">
      <c r="A204" s="1">
        <v>44665</v>
      </c>
      <c r="B204" t="s">
        <v>6</v>
      </c>
      <c r="C204" t="s">
        <v>10</v>
      </c>
      <c r="D204">
        <v>20</v>
      </c>
      <c r="E204">
        <v>330.3</v>
      </c>
      <c r="F204" t="s">
        <v>8</v>
      </c>
      <c r="G204" t="str">
        <f t="shared" si="6"/>
        <v>April</v>
      </c>
      <c r="H204" t="str">
        <f t="shared" si="7"/>
        <v>Thursday</v>
      </c>
    </row>
    <row r="205" spans="1:8" x14ac:dyDescent="0.3">
      <c r="A205" s="1">
        <v>44743</v>
      </c>
      <c r="B205" t="s">
        <v>12</v>
      </c>
      <c r="C205" t="s">
        <v>24</v>
      </c>
      <c r="D205">
        <v>8</v>
      </c>
      <c r="E205">
        <v>93.83</v>
      </c>
      <c r="F205" t="s">
        <v>16</v>
      </c>
      <c r="G205" t="str">
        <f t="shared" si="6"/>
        <v>July</v>
      </c>
      <c r="H205" t="str">
        <f t="shared" si="7"/>
        <v>Friday</v>
      </c>
    </row>
    <row r="206" spans="1:8" x14ac:dyDescent="0.3">
      <c r="A206" s="1">
        <v>44572</v>
      </c>
      <c r="B206" t="s">
        <v>9</v>
      </c>
      <c r="C206" t="s">
        <v>7</v>
      </c>
      <c r="D206">
        <v>19</v>
      </c>
      <c r="E206">
        <v>210.77</v>
      </c>
      <c r="F206" t="s">
        <v>14</v>
      </c>
      <c r="G206" t="str">
        <f t="shared" si="6"/>
        <v>January</v>
      </c>
      <c r="H206" t="str">
        <f t="shared" si="7"/>
        <v>Tuesday</v>
      </c>
    </row>
    <row r="207" spans="1:8" x14ac:dyDescent="0.3">
      <c r="A207" s="1">
        <v>44721</v>
      </c>
      <c r="B207" t="s">
        <v>6</v>
      </c>
      <c r="C207" t="s">
        <v>13</v>
      </c>
      <c r="D207">
        <v>14</v>
      </c>
      <c r="E207">
        <v>307.75</v>
      </c>
      <c r="F207" t="s">
        <v>16</v>
      </c>
      <c r="G207" t="str">
        <f t="shared" si="6"/>
        <v>June</v>
      </c>
      <c r="H207" t="str">
        <f t="shared" si="7"/>
        <v>Thursday</v>
      </c>
    </row>
    <row r="208" spans="1:8" x14ac:dyDescent="0.3">
      <c r="A208" s="1">
        <v>44714</v>
      </c>
      <c r="B208" t="s">
        <v>15</v>
      </c>
      <c r="C208" t="s">
        <v>23</v>
      </c>
      <c r="D208">
        <v>18</v>
      </c>
      <c r="E208">
        <v>149.85</v>
      </c>
      <c r="F208" t="s">
        <v>8</v>
      </c>
      <c r="G208" t="str">
        <f t="shared" si="6"/>
        <v>June</v>
      </c>
      <c r="H208" t="str">
        <f t="shared" si="7"/>
        <v>Thursday</v>
      </c>
    </row>
    <row r="209" spans="1:8" x14ac:dyDescent="0.3">
      <c r="A209" s="1">
        <v>44751</v>
      </c>
      <c r="B209" t="s">
        <v>21</v>
      </c>
      <c r="C209" t="s">
        <v>24</v>
      </c>
      <c r="D209">
        <v>20</v>
      </c>
      <c r="E209">
        <v>176.04</v>
      </c>
      <c r="F209" t="s">
        <v>14</v>
      </c>
      <c r="G209" t="str">
        <f t="shared" si="6"/>
        <v>July</v>
      </c>
      <c r="H209" t="str">
        <f t="shared" si="7"/>
        <v>Saturday</v>
      </c>
    </row>
    <row r="210" spans="1:8" x14ac:dyDescent="0.3">
      <c r="A210" s="1">
        <v>44752</v>
      </c>
      <c r="B210" t="s">
        <v>17</v>
      </c>
      <c r="C210" t="s">
        <v>7</v>
      </c>
      <c r="D210">
        <v>8</v>
      </c>
      <c r="E210">
        <v>102.72</v>
      </c>
      <c r="F210" t="s">
        <v>16</v>
      </c>
      <c r="G210" t="str">
        <f t="shared" si="6"/>
        <v>July</v>
      </c>
      <c r="H210" t="str">
        <f t="shared" si="7"/>
        <v>Sunday</v>
      </c>
    </row>
    <row r="211" spans="1:8" x14ac:dyDescent="0.3">
      <c r="A211" s="1">
        <v>44779</v>
      </c>
      <c r="B211" t="s">
        <v>12</v>
      </c>
      <c r="C211" t="s">
        <v>19</v>
      </c>
      <c r="D211">
        <v>18</v>
      </c>
      <c r="E211">
        <v>224.44</v>
      </c>
      <c r="F211" t="s">
        <v>8</v>
      </c>
      <c r="G211" t="str">
        <f t="shared" si="6"/>
        <v>August</v>
      </c>
      <c r="H211" t="str">
        <f t="shared" si="7"/>
        <v>Saturday</v>
      </c>
    </row>
    <row r="212" spans="1:8" x14ac:dyDescent="0.3">
      <c r="A212" s="1">
        <v>44606</v>
      </c>
      <c r="B212" t="s">
        <v>18</v>
      </c>
      <c r="C212" t="s">
        <v>20</v>
      </c>
      <c r="D212">
        <v>1</v>
      </c>
      <c r="E212">
        <v>23.68</v>
      </c>
      <c r="F212" t="s">
        <v>8</v>
      </c>
      <c r="G212" t="str">
        <f t="shared" si="6"/>
        <v>February</v>
      </c>
      <c r="H212" t="str">
        <f t="shared" si="7"/>
        <v>Monday</v>
      </c>
    </row>
    <row r="213" spans="1:8" x14ac:dyDescent="0.3">
      <c r="A213" s="1">
        <v>44685</v>
      </c>
      <c r="B213" t="s">
        <v>21</v>
      </c>
      <c r="C213" t="s">
        <v>7</v>
      </c>
      <c r="D213">
        <v>2</v>
      </c>
      <c r="E213">
        <v>47.79</v>
      </c>
      <c r="F213" t="s">
        <v>8</v>
      </c>
      <c r="G213" t="str">
        <f t="shared" si="6"/>
        <v>May</v>
      </c>
      <c r="H213" t="str">
        <f t="shared" si="7"/>
        <v>Wednesday</v>
      </c>
    </row>
    <row r="214" spans="1:8" x14ac:dyDescent="0.3">
      <c r="A214" s="1">
        <v>44790</v>
      </c>
      <c r="B214" t="s">
        <v>9</v>
      </c>
      <c r="C214" t="s">
        <v>19</v>
      </c>
      <c r="D214">
        <v>10</v>
      </c>
      <c r="E214">
        <v>154.6</v>
      </c>
      <c r="F214" t="s">
        <v>22</v>
      </c>
      <c r="G214" t="str">
        <f t="shared" si="6"/>
        <v>August</v>
      </c>
      <c r="H214" t="str">
        <f t="shared" si="7"/>
        <v>Wednesday</v>
      </c>
    </row>
    <row r="215" spans="1:8" x14ac:dyDescent="0.3">
      <c r="A215" s="1">
        <v>44698</v>
      </c>
      <c r="B215" t="s">
        <v>21</v>
      </c>
      <c r="C215" t="s">
        <v>10</v>
      </c>
      <c r="D215">
        <v>8</v>
      </c>
      <c r="E215">
        <v>158.49</v>
      </c>
      <c r="F215" t="s">
        <v>22</v>
      </c>
      <c r="G215" t="str">
        <f t="shared" si="6"/>
        <v>May</v>
      </c>
      <c r="H215" t="str">
        <f t="shared" si="7"/>
        <v>Tuesday</v>
      </c>
    </row>
    <row r="216" spans="1:8" x14ac:dyDescent="0.3">
      <c r="A216" s="1">
        <v>44775</v>
      </c>
      <c r="B216" t="s">
        <v>18</v>
      </c>
      <c r="C216" t="s">
        <v>20</v>
      </c>
      <c r="D216">
        <v>7</v>
      </c>
      <c r="E216">
        <v>68.989999999999995</v>
      </c>
      <c r="F216" t="s">
        <v>22</v>
      </c>
      <c r="G216" t="str">
        <f t="shared" si="6"/>
        <v>August</v>
      </c>
      <c r="H216" t="str">
        <f t="shared" si="7"/>
        <v>Tuesday</v>
      </c>
    </row>
    <row r="217" spans="1:8" x14ac:dyDescent="0.3">
      <c r="A217" s="1">
        <v>44702</v>
      </c>
      <c r="B217" t="s">
        <v>18</v>
      </c>
      <c r="C217" t="s">
        <v>10</v>
      </c>
      <c r="D217">
        <v>9</v>
      </c>
      <c r="E217">
        <v>186.56</v>
      </c>
      <c r="F217" t="s">
        <v>22</v>
      </c>
      <c r="G217" t="str">
        <f t="shared" si="6"/>
        <v>May</v>
      </c>
      <c r="H217" t="str">
        <f t="shared" si="7"/>
        <v>Saturday</v>
      </c>
    </row>
    <row r="218" spans="1:8" x14ac:dyDescent="0.3">
      <c r="A218" s="1">
        <v>44733</v>
      </c>
      <c r="B218" t="s">
        <v>12</v>
      </c>
      <c r="C218" t="s">
        <v>24</v>
      </c>
      <c r="D218">
        <v>2</v>
      </c>
      <c r="E218">
        <v>36.61</v>
      </c>
      <c r="F218" t="s">
        <v>11</v>
      </c>
      <c r="G218" t="str">
        <f t="shared" si="6"/>
        <v>June</v>
      </c>
      <c r="H218" t="str">
        <f t="shared" si="7"/>
        <v>Tuesday</v>
      </c>
    </row>
    <row r="219" spans="1:8" x14ac:dyDescent="0.3">
      <c r="A219" s="1">
        <v>44569</v>
      </c>
      <c r="B219" t="s">
        <v>12</v>
      </c>
      <c r="C219" t="s">
        <v>19</v>
      </c>
      <c r="D219">
        <v>16</v>
      </c>
      <c r="E219">
        <v>392.8</v>
      </c>
      <c r="F219" t="s">
        <v>8</v>
      </c>
      <c r="G219" t="str">
        <f t="shared" si="6"/>
        <v>January</v>
      </c>
      <c r="H219" t="str">
        <f t="shared" si="7"/>
        <v>Saturday</v>
      </c>
    </row>
    <row r="220" spans="1:8" x14ac:dyDescent="0.3">
      <c r="A220" s="1">
        <v>44723</v>
      </c>
      <c r="B220" t="s">
        <v>21</v>
      </c>
      <c r="C220" t="s">
        <v>13</v>
      </c>
      <c r="D220">
        <v>5</v>
      </c>
      <c r="E220">
        <v>82.32</v>
      </c>
      <c r="F220" t="s">
        <v>22</v>
      </c>
      <c r="G220" t="str">
        <f t="shared" si="6"/>
        <v>June</v>
      </c>
      <c r="H220" t="str">
        <f t="shared" si="7"/>
        <v>Saturday</v>
      </c>
    </row>
    <row r="221" spans="1:8" x14ac:dyDescent="0.3">
      <c r="A221" s="1">
        <v>44659</v>
      </c>
      <c r="B221" t="s">
        <v>18</v>
      </c>
      <c r="C221" t="s">
        <v>10</v>
      </c>
      <c r="D221">
        <v>6</v>
      </c>
      <c r="E221">
        <v>128.69</v>
      </c>
      <c r="F221" t="s">
        <v>14</v>
      </c>
      <c r="G221" t="str">
        <f t="shared" si="6"/>
        <v>April</v>
      </c>
      <c r="H221" t="str">
        <f t="shared" si="7"/>
        <v>Friday</v>
      </c>
    </row>
    <row r="222" spans="1:8" x14ac:dyDescent="0.3">
      <c r="A222" s="1">
        <v>44777</v>
      </c>
      <c r="B222" t="s">
        <v>6</v>
      </c>
      <c r="C222" t="s">
        <v>10</v>
      </c>
      <c r="D222">
        <v>13</v>
      </c>
      <c r="E222">
        <v>323.95999999999998</v>
      </c>
      <c r="F222" t="s">
        <v>16</v>
      </c>
      <c r="G222" t="str">
        <f t="shared" si="6"/>
        <v>August</v>
      </c>
      <c r="H222" t="str">
        <f t="shared" si="7"/>
        <v>Thursday</v>
      </c>
    </row>
    <row r="223" spans="1:8" x14ac:dyDescent="0.3">
      <c r="A223" s="1">
        <v>44633</v>
      </c>
      <c r="B223" t="s">
        <v>21</v>
      </c>
      <c r="C223" t="s">
        <v>23</v>
      </c>
      <c r="D223">
        <v>9</v>
      </c>
      <c r="E223">
        <v>180.57</v>
      </c>
      <c r="F223" t="s">
        <v>8</v>
      </c>
      <c r="G223" t="str">
        <f t="shared" si="6"/>
        <v>March</v>
      </c>
      <c r="H223" t="str">
        <f t="shared" si="7"/>
        <v>Sunday</v>
      </c>
    </row>
    <row r="224" spans="1:8" x14ac:dyDescent="0.3">
      <c r="A224" s="1">
        <v>44798</v>
      </c>
      <c r="B224" t="s">
        <v>9</v>
      </c>
      <c r="C224" t="s">
        <v>23</v>
      </c>
      <c r="D224">
        <v>18</v>
      </c>
      <c r="E224">
        <v>229.15</v>
      </c>
      <c r="F224" t="s">
        <v>14</v>
      </c>
      <c r="G224" t="str">
        <f t="shared" si="6"/>
        <v>August</v>
      </c>
      <c r="H224" t="str">
        <f t="shared" si="7"/>
        <v>Thursday</v>
      </c>
    </row>
    <row r="225" spans="1:8" x14ac:dyDescent="0.3">
      <c r="A225" s="1">
        <v>44792</v>
      </c>
      <c r="B225" t="s">
        <v>6</v>
      </c>
      <c r="C225" t="s">
        <v>23</v>
      </c>
      <c r="D225">
        <v>7</v>
      </c>
      <c r="E225">
        <v>163.5</v>
      </c>
      <c r="F225" t="s">
        <v>16</v>
      </c>
      <c r="G225" t="str">
        <f t="shared" si="6"/>
        <v>August</v>
      </c>
      <c r="H225" t="str">
        <f t="shared" si="7"/>
        <v>Friday</v>
      </c>
    </row>
    <row r="226" spans="1:8" x14ac:dyDescent="0.3">
      <c r="A226" s="1">
        <v>44630</v>
      </c>
      <c r="B226" t="s">
        <v>9</v>
      </c>
      <c r="C226" t="s">
        <v>20</v>
      </c>
      <c r="D226">
        <v>6</v>
      </c>
      <c r="E226">
        <v>124.34</v>
      </c>
      <c r="F226" t="s">
        <v>22</v>
      </c>
      <c r="G226" t="str">
        <f t="shared" si="6"/>
        <v>March</v>
      </c>
      <c r="H226" t="str">
        <f t="shared" si="7"/>
        <v>Thursday</v>
      </c>
    </row>
    <row r="227" spans="1:8" x14ac:dyDescent="0.3">
      <c r="A227" s="1">
        <v>44613</v>
      </c>
      <c r="B227" t="s">
        <v>21</v>
      </c>
      <c r="C227" t="s">
        <v>23</v>
      </c>
      <c r="D227">
        <v>5</v>
      </c>
      <c r="E227">
        <v>64.33</v>
      </c>
      <c r="F227" t="s">
        <v>14</v>
      </c>
      <c r="G227" t="str">
        <f t="shared" si="6"/>
        <v>February</v>
      </c>
      <c r="H227" t="str">
        <f t="shared" si="7"/>
        <v>Monday</v>
      </c>
    </row>
    <row r="228" spans="1:8" x14ac:dyDescent="0.3">
      <c r="A228" s="1">
        <v>44685</v>
      </c>
      <c r="B228" t="s">
        <v>9</v>
      </c>
      <c r="C228" t="s">
        <v>7</v>
      </c>
      <c r="D228">
        <v>8</v>
      </c>
      <c r="E228">
        <v>94.84</v>
      </c>
      <c r="F228" t="s">
        <v>22</v>
      </c>
      <c r="G228" t="str">
        <f t="shared" si="6"/>
        <v>May</v>
      </c>
      <c r="H228" t="str">
        <f t="shared" si="7"/>
        <v>Wednesday</v>
      </c>
    </row>
    <row r="229" spans="1:8" x14ac:dyDescent="0.3">
      <c r="A229" s="1">
        <v>44580</v>
      </c>
      <c r="B229" t="s">
        <v>15</v>
      </c>
      <c r="C229" t="s">
        <v>19</v>
      </c>
      <c r="D229">
        <v>18</v>
      </c>
      <c r="E229">
        <v>432</v>
      </c>
      <c r="F229" t="s">
        <v>11</v>
      </c>
      <c r="G229" t="str">
        <f t="shared" si="6"/>
        <v>January</v>
      </c>
      <c r="H229" t="str">
        <f t="shared" si="7"/>
        <v>Wednesday</v>
      </c>
    </row>
    <row r="230" spans="1:8" x14ac:dyDescent="0.3">
      <c r="A230" s="1">
        <v>44715</v>
      </c>
      <c r="B230" t="s">
        <v>17</v>
      </c>
      <c r="C230" t="s">
        <v>24</v>
      </c>
      <c r="D230">
        <v>19</v>
      </c>
      <c r="E230">
        <v>368.72</v>
      </c>
      <c r="F230" t="s">
        <v>16</v>
      </c>
      <c r="G230" t="str">
        <f t="shared" si="6"/>
        <v>June</v>
      </c>
      <c r="H230" t="str">
        <f t="shared" si="7"/>
        <v>Friday</v>
      </c>
    </row>
    <row r="231" spans="1:8" x14ac:dyDescent="0.3">
      <c r="A231" s="1">
        <v>44751</v>
      </c>
      <c r="B231" t="s">
        <v>21</v>
      </c>
      <c r="C231" t="s">
        <v>10</v>
      </c>
      <c r="D231">
        <v>20</v>
      </c>
      <c r="E231">
        <v>486.94</v>
      </c>
      <c r="F231" t="s">
        <v>22</v>
      </c>
      <c r="G231" t="str">
        <f t="shared" si="6"/>
        <v>July</v>
      </c>
      <c r="H231" t="str">
        <f t="shared" si="7"/>
        <v>Saturday</v>
      </c>
    </row>
    <row r="232" spans="1:8" x14ac:dyDescent="0.3">
      <c r="A232" s="1">
        <v>44783</v>
      </c>
      <c r="B232" t="s">
        <v>9</v>
      </c>
      <c r="C232" t="s">
        <v>7</v>
      </c>
      <c r="D232">
        <v>13</v>
      </c>
      <c r="E232">
        <v>320.79000000000002</v>
      </c>
      <c r="F232" t="s">
        <v>22</v>
      </c>
      <c r="G232" t="str">
        <f t="shared" si="6"/>
        <v>August</v>
      </c>
      <c r="H232" t="str">
        <f t="shared" si="7"/>
        <v>Wednesday</v>
      </c>
    </row>
    <row r="233" spans="1:8" x14ac:dyDescent="0.3">
      <c r="A233" s="1">
        <v>44755</v>
      </c>
      <c r="B233" t="s">
        <v>15</v>
      </c>
      <c r="C233" t="s">
        <v>23</v>
      </c>
      <c r="D233">
        <v>18</v>
      </c>
      <c r="E233">
        <v>431.39</v>
      </c>
      <c r="F233" t="s">
        <v>22</v>
      </c>
      <c r="G233" t="str">
        <f t="shared" si="6"/>
        <v>July</v>
      </c>
      <c r="H233" t="str">
        <f t="shared" si="7"/>
        <v>Wednesday</v>
      </c>
    </row>
    <row r="234" spans="1:8" x14ac:dyDescent="0.3">
      <c r="A234" s="1">
        <v>44617</v>
      </c>
      <c r="B234" t="s">
        <v>18</v>
      </c>
      <c r="C234" t="s">
        <v>20</v>
      </c>
      <c r="D234">
        <v>4</v>
      </c>
      <c r="E234">
        <v>67.5</v>
      </c>
      <c r="F234" t="s">
        <v>14</v>
      </c>
      <c r="G234" t="str">
        <f t="shared" si="6"/>
        <v>February</v>
      </c>
      <c r="H234" t="str">
        <f t="shared" si="7"/>
        <v>Friday</v>
      </c>
    </row>
    <row r="235" spans="1:8" x14ac:dyDescent="0.3">
      <c r="A235" s="1">
        <v>44769</v>
      </c>
      <c r="B235" t="s">
        <v>17</v>
      </c>
      <c r="C235" t="s">
        <v>19</v>
      </c>
      <c r="D235">
        <v>15</v>
      </c>
      <c r="E235">
        <v>220.62</v>
      </c>
      <c r="F235" t="s">
        <v>22</v>
      </c>
      <c r="G235" t="str">
        <f t="shared" si="6"/>
        <v>July</v>
      </c>
      <c r="H235" t="str">
        <f t="shared" si="7"/>
        <v>Wednesday</v>
      </c>
    </row>
    <row r="236" spans="1:8" x14ac:dyDescent="0.3">
      <c r="A236" s="1">
        <v>44786</v>
      </c>
      <c r="B236" t="s">
        <v>17</v>
      </c>
      <c r="C236" t="s">
        <v>23</v>
      </c>
      <c r="D236">
        <v>5</v>
      </c>
      <c r="E236">
        <v>97.52</v>
      </c>
      <c r="F236" t="s">
        <v>22</v>
      </c>
      <c r="G236" t="str">
        <f t="shared" si="6"/>
        <v>August</v>
      </c>
      <c r="H236" t="str">
        <f t="shared" si="7"/>
        <v>Saturday</v>
      </c>
    </row>
    <row r="237" spans="1:8" x14ac:dyDescent="0.3">
      <c r="A237" s="1">
        <v>44800</v>
      </c>
      <c r="B237" t="s">
        <v>9</v>
      </c>
      <c r="C237" t="s">
        <v>10</v>
      </c>
      <c r="D237">
        <v>6</v>
      </c>
      <c r="E237">
        <v>112.49</v>
      </c>
      <c r="F237" t="s">
        <v>16</v>
      </c>
      <c r="G237" t="str">
        <f t="shared" si="6"/>
        <v>August</v>
      </c>
      <c r="H237" t="str">
        <f t="shared" si="7"/>
        <v>Saturday</v>
      </c>
    </row>
    <row r="238" spans="1:8" x14ac:dyDescent="0.3">
      <c r="A238" s="1">
        <v>44638</v>
      </c>
      <c r="B238" t="s">
        <v>9</v>
      </c>
      <c r="C238" t="s">
        <v>24</v>
      </c>
      <c r="D238">
        <v>2</v>
      </c>
      <c r="E238">
        <v>45.57</v>
      </c>
      <c r="F238" t="s">
        <v>11</v>
      </c>
      <c r="G238" t="str">
        <f t="shared" si="6"/>
        <v>March</v>
      </c>
      <c r="H238" t="str">
        <f t="shared" si="7"/>
        <v>Friday</v>
      </c>
    </row>
    <row r="239" spans="1:8" x14ac:dyDescent="0.3">
      <c r="A239" s="1">
        <v>44759</v>
      </c>
      <c r="B239" t="s">
        <v>18</v>
      </c>
      <c r="C239" t="s">
        <v>10</v>
      </c>
      <c r="D239">
        <v>9</v>
      </c>
      <c r="E239">
        <v>100.77</v>
      </c>
      <c r="F239" t="s">
        <v>14</v>
      </c>
      <c r="G239" t="str">
        <f t="shared" si="6"/>
        <v>July</v>
      </c>
      <c r="H239" t="str">
        <f t="shared" si="7"/>
        <v>Sunday</v>
      </c>
    </row>
    <row r="240" spans="1:8" x14ac:dyDescent="0.3">
      <c r="A240" s="1">
        <v>44680</v>
      </c>
      <c r="B240" t="s">
        <v>15</v>
      </c>
      <c r="C240" t="s">
        <v>10</v>
      </c>
      <c r="D240">
        <v>12</v>
      </c>
      <c r="E240">
        <v>295.77999999999997</v>
      </c>
      <c r="F240" t="s">
        <v>8</v>
      </c>
      <c r="G240" t="str">
        <f t="shared" si="6"/>
        <v>April</v>
      </c>
      <c r="H240" t="str">
        <f t="shared" si="7"/>
        <v>Friday</v>
      </c>
    </row>
    <row r="241" spans="1:8" x14ac:dyDescent="0.3">
      <c r="A241" s="1">
        <v>44719</v>
      </c>
      <c r="B241" t="s">
        <v>15</v>
      </c>
      <c r="C241" t="s">
        <v>23</v>
      </c>
      <c r="D241">
        <v>17</v>
      </c>
      <c r="E241">
        <v>381.45</v>
      </c>
      <c r="F241" t="s">
        <v>14</v>
      </c>
      <c r="G241" t="str">
        <f t="shared" si="6"/>
        <v>June</v>
      </c>
      <c r="H241" t="str">
        <f t="shared" si="7"/>
        <v>Tuesday</v>
      </c>
    </row>
    <row r="242" spans="1:8" x14ac:dyDescent="0.3">
      <c r="A242" s="1">
        <v>44592</v>
      </c>
      <c r="B242" t="s">
        <v>21</v>
      </c>
      <c r="C242" t="s">
        <v>7</v>
      </c>
      <c r="D242">
        <v>11</v>
      </c>
      <c r="E242">
        <v>155.16</v>
      </c>
      <c r="F242" t="s">
        <v>11</v>
      </c>
      <c r="G242" t="str">
        <f t="shared" si="6"/>
        <v>January</v>
      </c>
      <c r="H242" t="str">
        <f t="shared" si="7"/>
        <v>Monday</v>
      </c>
    </row>
    <row r="243" spans="1:8" x14ac:dyDescent="0.3">
      <c r="A243" s="1">
        <v>44712</v>
      </c>
      <c r="B243" t="s">
        <v>15</v>
      </c>
      <c r="C243" t="s">
        <v>13</v>
      </c>
      <c r="D243">
        <v>18</v>
      </c>
      <c r="E243">
        <v>309.25</v>
      </c>
      <c r="F243" t="s">
        <v>8</v>
      </c>
      <c r="G243" t="str">
        <f t="shared" si="6"/>
        <v>May</v>
      </c>
      <c r="H243" t="str">
        <f t="shared" si="7"/>
        <v>Tuesday</v>
      </c>
    </row>
    <row r="244" spans="1:8" x14ac:dyDescent="0.3">
      <c r="A244" s="1">
        <v>44717</v>
      </c>
      <c r="B244" t="s">
        <v>6</v>
      </c>
      <c r="C244" t="s">
        <v>23</v>
      </c>
      <c r="D244">
        <v>3</v>
      </c>
      <c r="E244">
        <v>48.59</v>
      </c>
      <c r="F244" t="s">
        <v>14</v>
      </c>
      <c r="G244" t="str">
        <f t="shared" si="6"/>
        <v>June</v>
      </c>
      <c r="H244" t="str">
        <f t="shared" si="7"/>
        <v>Sunday</v>
      </c>
    </row>
    <row r="245" spans="1:8" x14ac:dyDescent="0.3">
      <c r="A245" s="1">
        <v>44587</v>
      </c>
      <c r="B245" t="s">
        <v>18</v>
      </c>
      <c r="C245" t="s">
        <v>19</v>
      </c>
      <c r="D245">
        <v>14</v>
      </c>
      <c r="E245">
        <v>141.91999999999999</v>
      </c>
      <c r="F245" t="s">
        <v>11</v>
      </c>
      <c r="G245" t="str">
        <f t="shared" si="6"/>
        <v>January</v>
      </c>
      <c r="H245" t="str">
        <f t="shared" si="7"/>
        <v>Wednesday</v>
      </c>
    </row>
    <row r="246" spans="1:8" x14ac:dyDescent="0.3">
      <c r="A246" s="1">
        <v>44798</v>
      </c>
      <c r="B246" t="s">
        <v>12</v>
      </c>
      <c r="C246" t="s">
        <v>24</v>
      </c>
      <c r="D246">
        <v>4</v>
      </c>
      <c r="E246">
        <v>67.94</v>
      </c>
      <c r="F246" t="s">
        <v>16</v>
      </c>
      <c r="G246" t="str">
        <f t="shared" si="6"/>
        <v>August</v>
      </c>
      <c r="H246" t="str">
        <f t="shared" si="7"/>
        <v>Thursday</v>
      </c>
    </row>
    <row r="247" spans="1:8" x14ac:dyDescent="0.3">
      <c r="A247" s="1">
        <v>44575</v>
      </c>
      <c r="B247" t="s">
        <v>18</v>
      </c>
      <c r="C247" t="s">
        <v>10</v>
      </c>
      <c r="D247">
        <v>13</v>
      </c>
      <c r="E247">
        <v>289.57</v>
      </c>
      <c r="F247" t="s">
        <v>16</v>
      </c>
      <c r="G247" t="str">
        <f t="shared" si="6"/>
        <v>January</v>
      </c>
      <c r="H247" t="str">
        <f t="shared" si="7"/>
        <v>Friday</v>
      </c>
    </row>
    <row r="248" spans="1:8" x14ac:dyDescent="0.3">
      <c r="A248" s="1">
        <v>44643</v>
      </c>
      <c r="B248" t="s">
        <v>21</v>
      </c>
      <c r="C248" t="s">
        <v>20</v>
      </c>
      <c r="D248">
        <v>19</v>
      </c>
      <c r="E248">
        <v>335.15</v>
      </c>
      <c r="F248" t="s">
        <v>8</v>
      </c>
      <c r="G248" t="str">
        <f t="shared" si="6"/>
        <v>March</v>
      </c>
      <c r="H248" t="str">
        <f t="shared" si="7"/>
        <v>Wednesday</v>
      </c>
    </row>
    <row r="249" spans="1:8" x14ac:dyDescent="0.3">
      <c r="A249" s="1">
        <v>44776</v>
      </c>
      <c r="B249" t="s">
        <v>17</v>
      </c>
      <c r="C249" t="s">
        <v>24</v>
      </c>
      <c r="D249">
        <v>6</v>
      </c>
      <c r="E249">
        <v>88.2</v>
      </c>
      <c r="F249" t="s">
        <v>22</v>
      </c>
      <c r="G249" t="str">
        <f t="shared" si="6"/>
        <v>August</v>
      </c>
      <c r="H249" t="str">
        <f t="shared" si="7"/>
        <v>Wednesday</v>
      </c>
    </row>
    <row r="250" spans="1:8" x14ac:dyDescent="0.3">
      <c r="A250" s="1">
        <v>44656</v>
      </c>
      <c r="B250" t="s">
        <v>21</v>
      </c>
      <c r="C250" t="s">
        <v>13</v>
      </c>
      <c r="D250">
        <v>2</v>
      </c>
      <c r="E250">
        <v>47.92</v>
      </c>
      <c r="F250" t="s">
        <v>11</v>
      </c>
      <c r="G250" t="str">
        <f t="shared" si="6"/>
        <v>April</v>
      </c>
      <c r="H250" t="str">
        <f t="shared" si="7"/>
        <v>Tuesday</v>
      </c>
    </row>
    <row r="251" spans="1:8" x14ac:dyDescent="0.3">
      <c r="A251" s="1">
        <v>44589</v>
      </c>
      <c r="B251" t="s">
        <v>9</v>
      </c>
      <c r="C251" t="s">
        <v>23</v>
      </c>
      <c r="D251">
        <v>7</v>
      </c>
      <c r="E251">
        <v>65.17</v>
      </c>
      <c r="F251" t="s">
        <v>8</v>
      </c>
      <c r="G251" t="str">
        <f t="shared" si="6"/>
        <v>January</v>
      </c>
      <c r="H251" t="str">
        <f t="shared" si="7"/>
        <v>Friday</v>
      </c>
    </row>
    <row r="252" spans="1:8" x14ac:dyDescent="0.3">
      <c r="A252" s="1">
        <v>44577</v>
      </c>
      <c r="B252" t="s">
        <v>17</v>
      </c>
      <c r="C252" t="s">
        <v>7</v>
      </c>
      <c r="D252">
        <v>3</v>
      </c>
      <c r="E252">
        <v>27.98</v>
      </c>
      <c r="F252" t="s">
        <v>16</v>
      </c>
      <c r="G252" t="str">
        <f t="shared" si="6"/>
        <v>January</v>
      </c>
      <c r="H252" t="str">
        <f t="shared" si="7"/>
        <v>Sunday</v>
      </c>
    </row>
    <row r="253" spans="1:8" x14ac:dyDescent="0.3">
      <c r="A253" s="1">
        <v>44613</v>
      </c>
      <c r="B253" t="s">
        <v>21</v>
      </c>
      <c r="C253" t="s">
        <v>24</v>
      </c>
      <c r="D253">
        <v>8</v>
      </c>
      <c r="E253">
        <v>197.83</v>
      </c>
      <c r="F253" t="s">
        <v>16</v>
      </c>
      <c r="G253" t="str">
        <f t="shared" si="6"/>
        <v>February</v>
      </c>
      <c r="H253" t="str">
        <f t="shared" si="7"/>
        <v>Monday</v>
      </c>
    </row>
    <row r="254" spans="1:8" x14ac:dyDescent="0.3">
      <c r="A254" s="1">
        <v>44622</v>
      </c>
      <c r="B254" t="s">
        <v>18</v>
      </c>
      <c r="C254" t="s">
        <v>10</v>
      </c>
      <c r="D254">
        <v>11</v>
      </c>
      <c r="E254">
        <v>204.72</v>
      </c>
      <c r="F254" t="s">
        <v>11</v>
      </c>
      <c r="G254" t="str">
        <f t="shared" si="6"/>
        <v>March</v>
      </c>
      <c r="H254" t="str">
        <f t="shared" si="7"/>
        <v>Wednesday</v>
      </c>
    </row>
    <row r="255" spans="1:8" x14ac:dyDescent="0.3">
      <c r="A255" s="1">
        <v>44622</v>
      </c>
      <c r="B255" t="s">
        <v>6</v>
      </c>
      <c r="C255" t="s">
        <v>7</v>
      </c>
      <c r="D255">
        <v>17</v>
      </c>
      <c r="E255">
        <v>316.18</v>
      </c>
      <c r="F255" t="s">
        <v>14</v>
      </c>
      <c r="G255" t="str">
        <f t="shared" si="6"/>
        <v>March</v>
      </c>
      <c r="H255" t="str">
        <f t="shared" si="7"/>
        <v>Wednesday</v>
      </c>
    </row>
    <row r="256" spans="1:8" x14ac:dyDescent="0.3">
      <c r="A256" s="1">
        <v>44612</v>
      </c>
      <c r="B256" t="s">
        <v>9</v>
      </c>
      <c r="C256" t="s">
        <v>24</v>
      </c>
      <c r="D256">
        <v>8</v>
      </c>
      <c r="E256">
        <v>81.36</v>
      </c>
      <c r="F256" t="s">
        <v>8</v>
      </c>
      <c r="G256" t="str">
        <f t="shared" si="6"/>
        <v>February</v>
      </c>
      <c r="H256" t="str">
        <f t="shared" si="7"/>
        <v>Sunday</v>
      </c>
    </row>
    <row r="257" spans="1:8" x14ac:dyDescent="0.3">
      <c r="A257" s="1">
        <v>44633</v>
      </c>
      <c r="B257" t="s">
        <v>6</v>
      </c>
      <c r="C257" t="s">
        <v>7</v>
      </c>
      <c r="D257">
        <v>18</v>
      </c>
      <c r="E257">
        <v>315.74</v>
      </c>
      <c r="F257" t="s">
        <v>22</v>
      </c>
      <c r="G257" t="str">
        <f t="shared" si="6"/>
        <v>March</v>
      </c>
      <c r="H257" t="str">
        <f t="shared" si="7"/>
        <v>Sunday</v>
      </c>
    </row>
    <row r="258" spans="1:8" x14ac:dyDescent="0.3">
      <c r="A258" s="1">
        <v>44594</v>
      </c>
      <c r="B258" t="s">
        <v>15</v>
      </c>
      <c r="C258" t="s">
        <v>24</v>
      </c>
      <c r="D258">
        <v>4</v>
      </c>
      <c r="E258">
        <v>88.26</v>
      </c>
      <c r="F258" t="s">
        <v>22</v>
      </c>
      <c r="G258" t="str">
        <f t="shared" si="6"/>
        <v>February</v>
      </c>
      <c r="H258" t="str">
        <f t="shared" si="7"/>
        <v>Wednesday</v>
      </c>
    </row>
    <row r="259" spans="1:8" x14ac:dyDescent="0.3">
      <c r="A259" s="1">
        <v>44762</v>
      </c>
      <c r="B259" t="s">
        <v>6</v>
      </c>
      <c r="C259" t="s">
        <v>19</v>
      </c>
      <c r="D259">
        <v>2</v>
      </c>
      <c r="E259">
        <v>28.36</v>
      </c>
      <c r="F259" t="s">
        <v>11</v>
      </c>
      <c r="G259" t="str">
        <f t="shared" ref="G259:G322" si="8">TEXT(A259,"mmmm")</f>
        <v>July</v>
      </c>
      <c r="H259" t="str">
        <f t="shared" ref="H259:H322" si="9">TEXT(A259,"dddd")</f>
        <v>Wednesday</v>
      </c>
    </row>
    <row r="260" spans="1:8" x14ac:dyDescent="0.3">
      <c r="A260" s="1">
        <v>44684</v>
      </c>
      <c r="B260" t="s">
        <v>12</v>
      </c>
      <c r="C260" t="s">
        <v>10</v>
      </c>
      <c r="D260">
        <v>9</v>
      </c>
      <c r="E260">
        <v>138.31</v>
      </c>
      <c r="F260" t="s">
        <v>11</v>
      </c>
      <c r="G260" t="str">
        <f t="shared" si="8"/>
        <v>May</v>
      </c>
      <c r="H260" t="str">
        <f t="shared" si="9"/>
        <v>Tuesday</v>
      </c>
    </row>
    <row r="261" spans="1:8" x14ac:dyDescent="0.3">
      <c r="A261" s="1">
        <v>44683</v>
      </c>
      <c r="B261" t="s">
        <v>6</v>
      </c>
      <c r="C261" t="s">
        <v>24</v>
      </c>
      <c r="D261">
        <v>18</v>
      </c>
      <c r="E261">
        <v>260.35000000000002</v>
      </c>
      <c r="F261" t="s">
        <v>16</v>
      </c>
      <c r="G261" t="str">
        <f t="shared" si="8"/>
        <v>May</v>
      </c>
      <c r="H261" t="str">
        <f t="shared" si="9"/>
        <v>Monday</v>
      </c>
    </row>
    <row r="262" spans="1:8" x14ac:dyDescent="0.3">
      <c r="A262" s="1">
        <v>44737</v>
      </c>
      <c r="B262" t="s">
        <v>12</v>
      </c>
      <c r="C262" t="s">
        <v>19</v>
      </c>
      <c r="D262">
        <v>13</v>
      </c>
      <c r="E262">
        <v>227.31</v>
      </c>
      <c r="F262" t="s">
        <v>14</v>
      </c>
      <c r="G262" t="str">
        <f t="shared" si="8"/>
        <v>June</v>
      </c>
      <c r="H262" t="str">
        <f t="shared" si="9"/>
        <v>Saturday</v>
      </c>
    </row>
    <row r="263" spans="1:8" x14ac:dyDescent="0.3">
      <c r="A263" s="1">
        <v>44798</v>
      </c>
      <c r="B263" t="s">
        <v>21</v>
      </c>
      <c r="C263" t="s">
        <v>23</v>
      </c>
      <c r="D263">
        <v>16</v>
      </c>
      <c r="E263">
        <v>130.5</v>
      </c>
      <c r="F263" t="s">
        <v>8</v>
      </c>
      <c r="G263" t="str">
        <f t="shared" si="8"/>
        <v>August</v>
      </c>
      <c r="H263" t="str">
        <f t="shared" si="9"/>
        <v>Thursday</v>
      </c>
    </row>
    <row r="264" spans="1:8" x14ac:dyDescent="0.3">
      <c r="A264" s="1">
        <v>44769</v>
      </c>
      <c r="B264" t="s">
        <v>18</v>
      </c>
      <c r="C264" t="s">
        <v>7</v>
      </c>
      <c r="D264">
        <v>4</v>
      </c>
      <c r="E264">
        <v>86.5</v>
      </c>
      <c r="F264" t="s">
        <v>16</v>
      </c>
      <c r="G264" t="str">
        <f t="shared" si="8"/>
        <v>July</v>
      </c>
      <c r="H264" t="str">
        <f t="shared" si="9"/>
        <v>Wednesday</v>
      </c>
    </row>
    <row r="265" spans="1:8" x14ac:dyDescent="0.3">
      <c r="A265" s="1">
        <v>44799</v>
      </c>
      <c r="B265" t="s">
        <v>17</v>
      </c>
      <c r="C265" t="s">
        <v>10</v>
      </c>
      <c r="D265">
        <v>19</v>
      </c>
      <c r="E265">
        <v>364.12</v>
      </c>
      <c r="F265" t="s">
        <v>8</v>
      </c>
      <c r="G265" t="str">
        <f t="shared" si="8"/>
        <v>August</v>
      </c>
      <c r="H265" t="str">
        <f t="shared" si="9"/>
        <v>Friday</v>
      </c>
    </row>
    <row r="266" spans="1:8" x14ac:dyDescent="0.3">
      <c r="A266" s="1">
        <v>44694</v>
      </c>
      <c r="B266" t="s">
        <v>17</v>
      </c>
      <c r="C266" t="s">
        <v>10</v>
      </c>
      <c r="D266">
        <v>7</v>
      </c>
      <c r="E266">
        <v>134.85</v>
      </c>
      <c r="F266" t="s">
        <v>14</v>
      </c>
      <c r="G266" t="str">
        <f t="shared" si="8"/>
        <v>May</v>
      </c>
      <c r="H266" t="str">
        <f t="shared" si="9"/>
        <v>Friday</v>
      </c>
    </row>
    <row r="267" spans="1:8" x14ac:dyDescent="0.3">
      <c r="A267" s="1">
        <v>44604</v>
      </c>
      <c r="B267" t="s">
        <v>15</v>
      </c>
      <c r="C267" t="s">
        <v>20</v>
      </c>
      <c r="D267">
        <v>14</v>
      </c>
      <c r="E267">
        <v>290.45</v>
      </c>
      <c r="F267" t="s">
        <v>14</v>
      </c>
      <c r="G267" t="str">
        <f t="shared" si="8"/>
        <v>February</v>
      </c>
      <c r="H267" t="str">
        <f t="shared" si="9"/>
        <v>Saturday</v>
      </c>
    </row>
    <row r="268" spans="1:8" x14ac:dyDescent="0.3">
      <c r="A268" s="1">
        <v>44634</v>
      </c>
      <c r="B268" t="s">
        <v>21</v>
      </c>
      <c r="C268" t="s">
        <v>24</v>
      </c>
      <c r="D268">
        <v>20</v>
      </c>
      <c r="E268">
        <v>244.72</v>
      </c>
      <c r="F268" t="s">
        <v>11</v>
      </c>
      <c r="G268" t="str">
        <f t="shared" si="8"/>
        <v>March</v>
      </c>
      <c r="H268" t="str">
        <f t="shared" si="9"/>
        <v>Monday</v>
      </c>
    </row>
    <row r="269" spans="1:8" x14ac:dyDescent="0.3">
      <c r="A269" s="1">
        <v>44723</v>
      </c>
      <c r="B269" t="s">
        <v>9</v>
      </c>
      <c r="C269" t="s">
        <v>7</v>
      </c>
      <c r="D269">
        <v>4</v>
      </c>
      <c r="E269">
        <v>75.989999999999995</v>
      </c>
      <c r="F269" t="s">
        <v>14</v>
      </c>
      <c r="G269" t="str">
        <f t="shared" si="8"/>
        <v>June</v>
      </c>
      <c r="H269" t="str">
        <f t="shared" si="9"/>
        <v>Saturday</v>
      </c>
    </row>
    <row r="270" spans="1:8" x14ac:dyDescent="0.3">
      <c r="A270" s="1">
        <v>44623</v>
      </c>
      <c r="B270" t="s">
        <v>17</v>
      </c>
      <c r="C270" t="s">
        <v>19</v>
      </c>
      <c r="D270">
        <v>13</v>
      </c>
      <c r="E270">
        <v>318.33</v>
      </c>
      <c r="F270" t="s">
        <v>16</v>
      </c>
      <c r="G270" t="str">
        <f t="shared" si="8"/>
        <v>March</v>
      </c>
      <c r="H270" t="str">
        <f t="shared" si="9"/>
        <v>Thursday</v>
      </c>
    </row>
    <row r="271" spans="1:8" x14ac:dyDescent="0.3">
      <c r="A271" s="1">
        <v>44568</v>
      </c>
      <c r="B271" t="s">
        <v>17</v>
      </c>
      <c r="C271" t="s">
        <v>20</v>
      </c>
      <c r="D271">
        <v>10</v>
      </c>
      <c r="E271">
        <v>220.07</v>
      </c>
      <c r="F271" t="s">
        <v>16</v>
      </c>
      <c r="G271" t="str">
        <f t="shared" si="8"/>
        <v>January</v>
      </c>
      <c r="H271" t="str">
        <f t="shared" si="9"/>
        <v>Friday</v>
      </c>
    </row>
    <row r="272" spans="1:8" x14ac:dyDescent="0.3">
      <c r="A272" s="1">
        <v>44574</v>
      </c>
      <c r="B272" t="s">
        <v>9</v>
      </c>
      <c r="C272" t="s">
        <v>19</v>
      </c>
      <c r="D272">
        <v>17</v>
      </c>
      <c r="E272">
        <v>311.83</v>
      </c>
      <c r="F272" t="s">
        <v>11</v>
      </c>
      <c r="G272" t="str">
        <f t="shared" si="8"/>
        <v>January</v>
      </c>
      <c r="H272" t="str">
        <f t="shared" si="9"/>
        <v>Thursday</v>
      </c>
    </row>
    <row r="273" spans="1:8" x14ac:dyDescent="0.3">
      <c r="A273" s="1">
        <v>44588</v>
      </c>
      <c r="B273" t="s">
        <v>9</v>
      </c>
      <c r="C273" t="s">
        <v>24</v>
      </c>
      <c r="D273">
        <v>12</v>
      </c>
      <c r="E273">
        <v>158.5</v>
      </c>
      <c r="F273" t="s">
        <v>22</v>
      </c>
      <c r="G273" t="str">
        <f t="shared" si="8"/>
        <v>January</v>
      </c>
      <c r="H273" t="str">
        <f t="shared" si="9"/>
        <v>Thursday</v>
      </c>
    </row>
    <row r="274" spans="1:8" x14ac:dyDescent="0.3">
      <c r="A274" s="1">
        <v>44749</v>
      </c>
      <c r="B274" t="s">
        <v>6</v>
      </c>
      <c r="C274" t="s">
        <v>23</v>
      </c>
      <c r="D274">
        <v>5</v>
      </c>
      <c r="E274">
        <v>57.11</v>
      </c>
      <c r="F274" t="s">
        <v>11</v>
      </c>
      <c r="G274" t="str">
        <f t="shared" si="8"/>
        <v>July</v>
      </c>
      <c r="H274" t="str">
        <f t="shared" si="9"/>
        <v>Thursday</v>
      </c>
    </row>
    <row r="275" spans="1:8" x14ac:dyDescent="0.3">
      <c r="A275" s="1">
        <v>44605</v>
      </c>
      <c r="B275" t="s">
        <v>12</v>
      </c>
      <c r="C275" t="s">
        <v>19</v>
      </c>
      <c r="D275">
        <v>7</v>
      </c>
      <c r="E275">
        <v>125.02</v>
      </c>
      <c r="F275" t="s">
        <v>8</v>
      </c>
      <c r="G275" t="str">
        <f t="shared" si="8"/>
        <v>February</v>
      </c>
      <c r="H275" t="str">
        <f t="shared" si="9"/>
        <v>Sunday</v>
      </c>
    </row>
    <row r="276" spans="1:8" x14ac:dyDescent="0.3">
      <c r="A276" s="1">
        <v>44659</v>
      </c>
      <c r="B276" t="s">
        <v>12</v>
      </c>
      <c r="C276" t="s">
        <v>23</v>
      </c>
      <c r="D276">
        <v>20</v>
      </c>
      <c r="E276">
        <v>494.08</v>
      </c>
      <c r="F276" t="s">
        <v>16</v>
      </c>
      <c r="G276" t="str">
        <f t="shared" si="8"/>
        <v>April</v>
      </c>
      <c r="H276" t="str">
        <f t="shared" si="9"/>
        <v>Friday</v>
      </c>
    </row>
    <row r="277" spans="1:8" x14ac:dyDescent="0.3">
      <c r="A277" s="1">
        <v>44744</v>
      </c>
      <c r="B277" t="s">
        <v>9</v>
      </c>
      <c r="C277" t="s">
        <v>19</v>
      </c>
      <c r="D277">
        <v>17</v>
      </c>
      <c r="E277">
        <v>374.2</v>
      </c>
      <c r="F277" t="s">
        <v>8</v>
      </c>
      <c r="G277" t="str">
        <f t="shared" si="8"/>
        <v>July</v>
      </c>
      <c r="H277" t="str">
        <f t="shared" si="9"/>
        <v>Saturday</v>
      </c>
    </row>
    <row r="278" spans="1:8" x14ac:dyDescent="0.3">
      <c r="A278" s="1">
        <v>44606</v>
      </c>
      <c r="B278" t="s">
        <v>6</v>
      </c>
      <c r="C278" t="s">
        <v>10</v>
      </c>
      <c r="D278">
        <v>15</v>
      </c>
      <c r="E278">
        <v>312.47000000000003</v>
      </c>
      <c r="F278" t="s">
        <v>11</v>
      </c>
      <c r="G278" t="str">
        <f t="shared" si="8"/>
        <v>February</v>
      </c>
      <c r="H278" t="str">
        <f t="shared" si="9"/>
        <v>Monday</v>
      </c>
    </row>
    <row r="279" spans="1:8" x14ac:dyDescent="0.3">
      <c r="A279" s="1">
        <v>44757</v>
      </c>
      <c r="B279" t="s">
        <v>21</v>
      </c>
      <c r="C279" t="s">
        <v>13</v>
      </c>
      <c r="D279">
        <v>16</v>
      </c>
      <c r="E279">
        <v>371.27</v>
      </c>
      <c r="F279" t="s">
        <v>22</v>
      </c>
      <c r="G279" t="str">
        <f t="shared" si="8"/>
        <v>July</v>
      </c>
      <c r="H279" t="str">
        <f t="shared" si="9"/>
        <v>Friday</v>
      </c>
    </row>
    <row r="280" spans="1:8" x14ac:dyDescent="0.3">
      <c r="A280" s="1">
        <v>44600</v>
      </c>
      <c r="B280" t="s">
        <v>15</v>
      </c>
      <c r="C280" t="s">
        <v>7</v>
      </c>
      <c r="D280">
        <v>2</v>
      </c>
      <c r="E280">
        <v>49.7</v>
      </c>
      <c r="F280" t="s">
        <v>14</v>
      </c>
      <c r="G280" t="str">
        <f t="shared" si="8"/>
        <v>February</v>
      </c>
      <c r="H280" t="str">
        <f t="shared" si="9"/>
        <v>Tuesday</v>
      </c>
    </row>
    <row r="281" spans="1:8" x14ac:dyDescent="0.3">
      <c r="A281" s="1">
        <v>44608</v>
      </c>
      <c r="B281" t="s">
        <v>17</v>
      </c>
      <c r="C281" t="s">
        <v>23</v>
      </c>
      <c r="D281">
        <v>1</v>
      </c>
      <c r="E281">
        <v>8.77</v>
      </c>
      <c r="F281" t="s">
        <v>16</v>
      </c>
      <c r="G281" t="str">
        <f t="shared" si="8"/>
        <v>February</v>
      </c>
      <c r="H281" t="str">
        <f t="shared" si="9"/>
        <v>Wednesday</v>
      </c>
    </row>
    <row r="282" spans="1:8" x14ac:dyDescent="0.3">
      <c r="A282" s="1">
        <v>44795</v>
      </c>
      <c r="B282" t="s">
        <v>18</v>
      </c>
      <c r="C282" t="s">
        <v>20</v>
      </c>
      <c r="D282">
        <v>7</v>
      </c>
      <c r="E282">
        <v>146.37</v>
      </c>
      <c r="F282" t="s">
        <v>22</v>
      </c>
      <c r="G282" t="str">
        <f t="shared" si="8"/>
        <v>August</v>
      </c>
      <c r="H282" t="str">
        <f t="shared" si="9"/>
        <v>Monday</v>
      </c>
    </row>
    <row r="283" spans="1:8" x14ac:dyDescent="0.3">
      <c r="A283" s="1">
        <v>44696</v>
      </c>
      <c r="B283" t="s">
        <v>15</v>
      </c>
      <c r="C283" t="s">
        <v>13</v>
      </c>
      <c r="D283">
        <v>15</v>
      </c>
      <c r="E283">
        <v>273.64999999999998</v>
      </c>
      <c r="F283" t="s">
        <v>11</v>
      </c>
      <c r="G283" t="str">
        <f t="shared" si="8"/>
        <v>May</v>
      </c>
      <c r="H283" t="str">
        <f t="shared" si="9"/>
        <v>Sunday</v>
      </c>
    </row>
    <row r="284" spans="1:8" x14ac:dyDescent="0.3">
      <c r="A284" s="1">
        <v>44757</v>
      </c>
      <c r="B284" t="s">
        <v>21</v>
      </c>
      <c r="C284" t="s">
        <v>24</v>
      </c>
      <c r="D284">
        <v>14</v>
      </c>
      <c r="E284">
        <v>185.36</v>
      </c>
      <c r="F284" t="s">
        <v>16</v>
      </c>
      <c r="G284" t="str">
        <f t="shared" si="8"/>
        <v>July</v>
      </c>
      <c r="H284" t="str">
        <f t="shared" si="9"/>
        <v>Friday</v>
      </c>
    </row>
    <row r="285" spans="1:8" x14ac:dyDescent="0.3">
      <c r="A285" s="1">
        <v>44622</v>
      </c>
      <c r="B285" t="s">
        <v>17</v>
      </c>
      <c r="C285" t="s">
        <v>20</v>
      </c>
      <c r="D285">
        <v>17</v>
      </c>
      <c r="E285">
        <v>219.07</v>
      </c>
      <c r="F285" t="s">
        <v>11</v>
      </c>
      <c r="G285" t="str">
        <f t="shared" si="8"/>
        <v>March</v>
      </c>
      <c r="H285" t="str">
        <f t="shared" si="9"/>
        <v>Wednesday</v>
      </c>
    </row>
    <row r="286" spans="1:8" x14ac:dyDescent="0.3">
      <c r="A286" s="1">
        <v>44568</v>
      </c>
      <c r="B286" t="s">
        <v>21</v>
      </c>
      <c r="C286" t="s">
        <v>24</v>
      </c>
      <c r="D286">
        <v>12</v>
      </c>
      <c r="E286">
        <v>134.44</v>
      </c>
      <c r="F286" t="s">
        <v>14</v>
      </c>
      <c r="G286" t="str">
        <f t="shared" si="8"/>
        <v>January</v>
      </c>
      <c r="H286" t="str">
        <f t="shared" si="9"/>
        <v>Friday</v>
      </c>
    </row>
    <row r="287" spans="1:8" x14ac:dyDescent="0.3">
      <c r="A287" s="1">
        <v>44603</v>
      </c>
      <c r="B287" t="s">
        <v>17</v>
      </c>
      <c r="C287" t="s">
        <v>23</v>
      </c>
      <c r="D287">
        <v>19</v>
      </c>
      <c r="E287">
        <v>474.65</v>
      </c>
      <c r="F287" t="s">
        <v>8</v>
      </c>
      <c r="G287" t="str">
        <f t="shared" si="8"/>
        <v>February</v>
      </c>
      <c r="H287" t="str">
        <f t="shared" si="9"/>
        <v>Friday</v>
      </c>
    </row>
    <row r="288" spans="1:8" x14ac:dyDescent="0.3">
      <c r="A288" s="1">
        <v>44597</v>
      </c>
      <c r="B288" t="s">
        <v>17</v>
      </c>
      <c r="C288" t="s">
        <v>10</v>
      </c>
      <c r="D288">
        <v>14</v>
      </c>
      <c r="E288">
        <v>289.68</v>
      </c>
      <c r="F288" t="s">
        <v>16</v>
      </c>
      <c r="G288" t="str">
        <f t="shared" si="8"/>
        <v>February</v>
      </c>
      <c r="H288" t="str">
        <f t="shared" si="9"/>
        <v>Saturday</v>
      </c>
    </row>
    <row r="289" spans="1:8" x14ac:dyDescent="0.3">
      <c r="A289" s="1">
        <v>44678</v>
      </c>
      <c r="B289" t="s">
        <v>12</v>
      </c>
      <c r="C289" t="s">
        <v>24</v>
      </c>
      <c r="D289">
        <v>18</v>
      </c>
      <c r="E289">
        <v>401.63</v>
      </c>
      <c r="F289" t="s">
        <v>8</v>
      </c>
      <c r="G289" t="str">
        <f t="shared" si="8"/>
        <v>April</v>
      </c>
      <c r="H289" t="str">
        <f t="shared" si="9"/>
        <v>Wednesday</v>
      </c>
    </row>
    <row r="290" spans="1:8" x14ac:dyDescent="0.3">
      <c r="A290" s="1">
        <v>44636</v>
      </c>
      <c r="B290" t="s">
        <v>18</v>
      </c>
      <c r="C290" t="s">
        <v>24</v>
      </c>
      <c r="D290">
        <v>12</v>
      </c>
      <c r="E290">
        <v>123.89</v>
      </c>
      <c r="F290" t="s">
        <v>16</v>
      </c>
      <c r="G290" t="str">
        <f t="shared" si="8"/>
        <v>March</v>
      </c>
      <c r="H290" t="str">
        <f t="shared" si="9"/>
        <v>Wednesday</v>
      </c>
    </row>
    <row r="291" spans="1:8" x14ac:dyDescent="0.3">
      <c r="A291" s="1">
        <v>44759</v>
      </c>
      <c r="B291" t="s">
        <v>12</v>
      </c>
      <c r="C291" t="s">
        <v>20</v>
      </c>
      <c r="D291">
        <v>7</v>
      </c>
      <c r="E291">
        <v>140.54</v>
      </c>
      <c r="F291" t="s">
        <v>14</v>
      </c>
      <c r="G291" t="str">
        <f t="shared" si="8"/>
        <v>July</v>
      </c>
      <c r="H291" t="str">
        <f t="shared" si="9"/>
        <v>Sunday</v>
      </c>
    </row>
    <row r="292" spans="1:8" x14ac:dyDescent="0.3">
      <c r="A292" s="1">
        <v>44766</v>
      </c>
      <c r="B292" t="s">
        <v>9</v>
      </c>
      <c r="C292" t="s">
        <v>19</v>
      </c>
      <c r="D292">
        <v>10</v>
      </c>
      <c r="E292">
        <v>209.65</v>
      </c>
      <c r="F292" t="s">
        <v>16</v>
      </c>
      <c r="G292" t="str">
        <f t="shared" si="8"/>
        <v>July</v>
      </c>
      <c r="H292" t="str">
        <f t="shared" si="9"/>
        <v>Sunday</v>
      </c>
    </row>
    <row r="293" spans="1:8" x14ac:dyDescent="0.3">
      <c r="A293" s="1">
        <v>44579</v>
      </c>
      <c r="B293" t="s">
        <v>17</v>
      </c>
      <c r="C293" t="s">
        <v>7</v>
      </c>
      <c r="D293">
        <v>2</v>
      </c>
      <c r="E293">
        <v>33.090000000000003</v>
      </c>
      <c r="F293" t="s">
        <v>14</v>
      </c>
      <c r="G293" t="str">
        <f t="shared" si="8"/>
        <v>January</v>
      </c>
      <c r="H293" t="str">
        <f t="shared" si="9"/>
        <v>Tuesday</v>
      </c>
    </row>
    <row r="294" spans="1:8" x14ac:dyDescent="0.3">
      <c r="A294" s="1">
        <v>44766</v>
      </c>
      <c r="B294" t="s">
        <v>21</v>
      </c>
      <c r="C294" t="s">
        <v>13</v>
      </c>
      <c r="D294">
        <v>8</v>
      </c>
      <c r="E294">
        <v>157.03</v>
      </c>
      <c r="F294" t="s">
        <v>22</v>
      </c>
      <c r="G294" t="str">
        <f t="shared" si="8"/>
        <v>July</v>
      </c>
      <c r="H294" t="str">
        <f t="shared" si="9"/>
        <v>Sunday</v>
      </c>
    </row>
    <row r="295" spans="1:8" x14ac:dyDescent="0.3">
      <c r="A295" s="1">
        <v>44768</v>
      </c>
      <c r="B295" t="s">
        <v>9</v>
      </c>
      <c r="C295" t="s">
        <v>19</v>
      </c>
      <c r="D295">
        <v>1</v>
      </c>
      <c r="E295">
        <v>17.670000000000002</v>
      </c>
      <c r="F295" t="s">
        <v>22</v>
      </c>
      <c r="G295" t="str">
        <f t="shared" si="8"/>
        <v>July</v>
      </c>
      <c r="H295" t="str">
        <f t="shared" si="9"/>
        <v>Tuesday</v>
      </c>
    </row>
    <row r="296" spans="1:8" x14ac:dyDescent="0.3">
      <c r="A296" s="1">
        <v>44715</v>
      </c>
      <c r="B296" t="s">
        <v>12</v>
      </c>
      <c r="C296" t="s">
        <v>19</v>
      </c>
      <c r="D296">
        <v>19</v>
      </c>
      <c r="E296">
        <v>341.45</v>
      </c>
      <c r="F296" t="s">
        <v>14</v>
      </c>
      <c r="G296" t="str">
        <f t="shared" si="8"/>
        <v>June</v>
      </c>
      <c r="H296" t="str">
        <f t="shared" si="9"/>
        <v>Friday</v>
      </c>
    </row>
    <row r="297" spans="1:8" x14ac:dyDescent="0.3">
      <c r="A297" s="1">
        <v>44717</v>
      </c>
      <c r="B297" t="s">
        <v>15</v>
      </c>
      <c r="C297" t="s">
        <v>19</v>
      </c>
      <c r="D297">
        <v>14</v>
      </c>
      <c r="E297">
        <v>194.98</v>
      </c>
      <c r="F297" t="s">
        <v>22</v>
      </c>
      <c r="G297" t="str">
        <f t="shared" si="8"/>
        <v>June</v>
      </c>
      <c r="H297" t="str">
        <f t="shared" si="9"/>
        <v>Sunday</v>
      </c>
    </row>
    <row r="298" spans="1:8" x14ac:dyDescent="0.3">
      <c r="A298" s="1">
        <v>44785</v>
      </c>
      <c r="B298" t="s">
        <v>6</v>
      </c>
      <c r="C298" t="s">
        <v>13</v>
      </c>
      <c r="D298">
        <v>8</v>
      </c>
      <c r="E298">
        <v>78.790000000000006</v>
      </c>
      <c r="F298" t="s">
        <v>8</v>
      </c>
      <c r="G298" t="str">
        <f t="shared" si="8"/>
        <v>August</v>
      </c>
      <c r="H298" t="str">
        <f t="shared" si="9"/>
        <v>Friday</v>
      </c>
    </row>
    <row r="299" spans="1:8" x14ac:dyDescent="0.3">
      <c r="A299" s="1">
        <v>44728</v>
      </c>
      <c r="B299" t="s">
        <v>15</v>
      </c>
      <c r="C299" t="s">
        <v>7</v>
      </c>
      <c r="D299">
        <v>14</v>
      </c>
      <c r="E299">
        <v>131.03</v>
      </c>
      <c r="F299" t="s">
        <v>22</v>
      </c>
      <c r="G299" t="str">
        <f t="shared" si="8"/>
        <v>June</v>
      </c>
      <c r="H299" t="str">
        <f t="shared" si="9"/>
        <v>Thursday</v>
      </c>
    </row>
    <row r="300" spans="1:8" x14ac:dyDescent="0.3">
      <c r="A300" s="1">
        <v>44588</v>
      </c>
      <c r="B300" t="s">
        <v>18</v>
      </c>
      <c r="C300" t="s">
        <v>24</v>
      </c>
      <c r="D300">
        <v>2</v>
      </c>
      <c r="E300">
        <v>33.67</v>
      </c>
      <c r="F300" t="s">
        <v>11</v>
      </c>
      <c r="G300" t="str">
        <f t="shared" si="8"/>
        <v>January</v>
      </c>
      <c r="H300" t="str">
        <f t="shared" si="9"/>
        <v>Thursday</v>
      </c>
    </row>
    <row r="301" spans="1:8" x14ac:dyDescent="0.3">
      <c r="A301" s="1">
        <v>44716</v>
      </c>
      <c r="B301" t="s">
        <v>12</v>
      </c>
      <c r="C301" t="s">
        <v>19</v>
      </c>
      <c r="D301">
        <v>5</v>
      </c>
      <c r="E301">
        <v>41.09</v>
      </c>
      <c r="F301" t="s">
        <v>8</v>
      </c>
      <c r="G301" t="str">
        <f t="shared" si="8"/>
        <v>June</v>
      </c>
      <c r="H301" t="str">
        <f t="shared" si="9"/>
        <v>Saturday</v>
      </c>
    </row>
    <row r="302" spans="1:8" x14ac:dyDescent="0.3">
      <c r="A302" s="1">
        <v>44735</v>
      </c>
      <c r="B302" t="s">
        <v>6</v>
      </c>
      <c r="C302" t="s">
        <v>13</v>
      </c>
      <c r="D302">
        <v>1</v>
      </c>
      <c r="E302">
        <v>17.39</v>
      </c>
      <c r="F302" t="s">
        <v>11</v>
      </c>
      <c r="G302" t="str">
        <f t="shared" si="8"/>
        <v>June</v>
      </c>
      <c r="H302" t="str">
        <f t="shared" si="9"/>
        <v>Thursday</v>
      </c>
    </row>
    <row r="303" spans="1:8" x14ac:dyDescent="0.3">
      <c r="A303" s="1">
        <v>44756</v>
      </c>
      <c r="B303" t="s">
        <v>9</v>
      </c>
      <c r="C303" t="s">
        <v>23</v>
      </c>
      <c r="D303">
        <v>18</v>
      </c>
      <c r="E303">
        <v>364.2</v>
      </c>
      <c r="F303" t="s">
        <v>22</v>
      </c>
      <c r="G303" t="str">
        <f t="shared" si="8"/>
        <v>July</v>
      </c>
      <c r="H303" t="str">
        <f t="shared" si="9"/>
        <v>Thursday</v>
      </c>
    </row>
    <row r="304" spans="1:8" x14ac:dyDescent="0.3">
      <c r="A304" s="1">
        <v>44583</v>
      </c>
      <c r="B304" t="s">
        <v>15</v>
      </c>
      <c r="C304" t="s">
        <v>7</v>
      </c>
      <c r="D304">
        <v>6</v>
      </c>
      <c r="E304">
        <v>68.209999999999994</v>
      </c>
      <c r="F304" t="s">
        <v>14</v>
      </c>
      <c r="G304" t="str">
        <f t="shared" si="8"/>
        <v>January</v>
      </c>
      <c r="H304" t="str">
        <f t="shared" si="9"/>
        <v>Saturday</v>
      </c>
    </row>
    <row r="305" spans="1:8" x14ac:dyDescent="0.3">
      <c r="A305" s="1">
        <v>44764</v>
      </c>
      <c r="B305" t="s">
        <v>15</v>
      </c>
      <c r="C305" t="s">
        <v>20</v>
      </c>
      <c r="D305">
        <v>20</v>
      </c>
      <c r="E305">
        <v>479.93</v>
      </c>
      <c r="F305" t="s">
        <v>11</v>
      </c>
      <c r="G305" t="str">
        <f t="shared" si="8"/>
        <v>July</v>
      </c>
      <c r="H305" t="str">
        <f t="shared" si="9"/>
        <v>Friday</v>
      </c>
    </row>
    <row r="306" spans="1:8" x14ac:dyDescent="0.3">
      <c r="A306" s="1">
        <v>44697</v>
      </c>
      <c r="B306" t="s">
        <v>21</v>
      </c>
      <c r="C306" t="s">
        <v>19</v>
      </c>
      <c r="D306">
        <v>6</v>
      </c>
      <c r="E306">
        <v>136.59</v>
      </c>
      <c r="F306" t="s">
        <v>14</v>
      </c>
      <c r="G306" t="str">
        <f t="shared" si="8"/>
        <v>May</v>
      </c>
      <c r="H306" t="str">
        <f t="shared" si="9"/>
        <v>Monday</v>
      </c>
    </row>
    <row r="307" spans="1:8" x14ac:dyDescent="0.3">
      <c r="A307" s="1">
        <v>44799</v>
      </c>
      <c r="B307" t="s">
        <v>17</v>
      </c>
      <c r="C307" t="s">
        <v>23</v>
      </c>
      <c r="D307">
        <v>2</v>
      </c>
      <c r="E307">
        <v>45.31</v>
      </c>
      <c r="F307" t="s">
        <v>16</v>
      </c>
      <c r="G307" t="str">
        <f t="shared" si="8"/>
        <v>August</v>
      </c>
      <c r="H307" t="str">
        <f t="shared" si="9"/>
        <v>Friday</v>
      </c>
    </row>
    <row r="308" spans="1:8" x14ac:dyDescent="0.3">
      <c r="A308" s="1">
        <v>44629</v>
      </c>
      <c r="B308" t="s">
        <v>9</v>
      </c>
      <c r="C308" t="s">
        <v>23</v>
      </c>
      <c r="D308">
        <v>11</v>
      </c>
      <c r="E308">
        <v>246.17</v>
      </c>
      <c r="F308" t="s">
        <v>11</v>
      </c>
      <c r="G308" t="str">
        <f t="shared" si="8"/>
        <v>March</v>
      </c>
      <c r="H308" t="str">
        <f t="shared" si="9"/>
        <v>Wednesday</v>
      </c>
    </row>
    <row r="309" spans="1:8" x14ac:dyDescent="0.3">
      <c r="A309" s="1">
        <v>44574</v>
      </c>
      <c r="B309" t="s">
        <v>15</v>
      </c>
      <c r="C309" t="s">
        <v>13</v>
      </c>
      <c r="D309">
        <v>15</v>
      </c>
      <c r="E309">
        <v>362.44</v>
      </c>
      <c r="F309" t="s">
        <v>11</v>
      </c>
      <c r="G309" t="str">
        <f t="shared" si="8"/>
        <v>January</v>
      </c>
      <c r="H309" t="str">
        <f t="shared" si="9"/>
        <v>Thursday</v>
      </c>
    </row>
    <row r="310" spans="1:8" x14ac:dyDescent="0.3">
      <c r="A310" s="1">
        <v>44620</v>
      </c>
      <c r="B310" t="s">
        <v>15</v>
      </c>
      <c r="C310" t="s">
        <v>7</v>
      </c>
      <c r="D310">
        <v>7</v>
      </c>
      <c r="E310">
        <v>133.38</v>
      </c>
      <c r="F310" t="s">
        <v>14</v>
      </c>
      <c r="G310" t="str">
        <f t="shared" si="8"/>
        <v>February</v>
      </c>
      <c r="H310" t="str">
        <f t="shared" si="9"/>
        <v>Monday</v>
      </c>
    </row>
    <row r="311" spans="1:8" x14ac:dyDescent="0.3">
      <c r="A311" s="1">
        <v>44678</v>
      </c>
      <c r="B311" t="s">
        <v>17</v>
      </c>
      <c r="C311" t="s">
        <v>24</v>
      </c>
      <c r="D311">
        <v>1</v>
      </c>
      <c r="E311">
        <v>16.87</v>
      </c>
      <c r="F311" t="s">
        <v>11</v>
      </c>
      <c r="G311" t="str">
        <f t="shared" si="8"/>
        <v>April</v>
      </c>
      <c r="H311" t="str">
        <f t="shared" si="9"/>
        <v>Wednesday</v>
      </c>
    </row>
    <row r="312" spans="1:8" x14ac:dyDescent="0.3">
      <c r="A312" s="1">
        <v>44595</v>
      </c>
      <c r="B312" t="s">
        <v>18</v>
      </c>
      <c r="C312" t="s">
        <v>7</v>
      </c>
      <c r="D312">
        <v>15</v>
      </c>
      <c r="E312">
        <v>191.54</v>
      </c>
      <c r="F312" t="s">
        <v>11</v>
      </c>
      <c r="G312" t="str">
        <f t="shared" si="8"/>
        <v>February</v>
      </c>
      <c r="H312" t="str">
        <f t="shared" si="9"/>
        <v>Thursday</v>
      </c>
    </row>
    <row r="313" spans="1:8" x14ac:dyDescent="0.3">
      <c r="A313" s="1">
        <v>44613</v>
      </c>
      <c r="B313" t="s">
        <v>9</v>
      </c>
      <c r="C313" t="s">
        <v>10</v>
      </c>
      <c r="D313">
        <v>2</v>
      </c>
      <c r="E313">
        <v>26.91</v>
      </c>
      <c r="F313" t="s">
        <v>22</v>
      </c>
      <c r="G313" t="str">
        <f t="shared" si="8"/>
        <v>February</v>
      </c>
      <c r="H313" t="str">
        <f t="shared" si="9"/>
        <v>Monday</v>
      </c>
    </row>
    <row r="314" spans="1:8" x14ac:dyDescent="0.3">
      <c r="A314" s="1">
        <v>44777</v>
      </c>
      <c r="B314" t="s">
        <v>15</v>
      </c>
      <c r="C314" t="s">
        <v>19</v>
      </c>
      <c r="D314">
        <v>3</v>
      </c>
      <c r="E314">
        <v>59.95</v>
      </c>
      <c r="F314" t="s">
        <v>14</v>
      </c>
      <c r="G314" t="str">
        <f t="shared" si="8"/>
        <v>August</v>
      </c>
      <c r="H314" t="str">
        <f t="shared" si="9"/>
        <v>Thursday</v>
      </c>
    </row>
    <row r="315" spans="1:8" x14ac:dyDescent="0.3">
      <c r="A315" s="1">
        <v>44678</v>
      </c>
      <c r="B315" t="s">
        <v>17</v>
      </c>
      <c r="C315" t="s">
        <v>10</v>
      </c>
      <c r="D315">
        <v>14</v>
      </c>
      <c r="E315">
        <v>183.32</v>
      </c>
      <c r="F315" t="s">
        <v>22</v>
      </c>
      <c r="G315" t="str">
        <f t="shared" si="8"/>
        <v>April</v>
      </c>
      <c r="H315" t="str">
        <f t="shared" si="9"/>
        <v>Wednesday</v>
      </c>
    </row>
    <row r="316" spans="1:8" x14ac:dyDescent="0.3">
      <c r="A316" s="1">
        <v>44605</v>
      </c>
      <c r="B316" t="s">
        <v>18</v>
      </c>
      <c r="C316" t="s">
        <v>20</v>
      </c>
      <c r="D316">
        <v>15</v>
      </c>
      <c r="E316">
        <v>321.39999999999998</v>
      </c>
      <c r="F316" t="s">
        <v>14</v>
      </c>
      <c r="G316" t="str">
        <f t="shared" si="8"/>
        <v>February</v>
      </c>
      <c r="H316" t="str">
        <f t="shared" si="9"/>
        <v>Sunday</v>
      </c>
    </row>
    <row r="317" spans="1:8" x14ac:dyDescent="0.3">
      <c r="A317" s="1">
        <v>44643</v>
      </c>
      <c r="B317" t="s">
        <v>17</v>
      </c>
      <c r="C317" t="s">
        <v>23</v>
      </c>
      <c r="D317">
        <v>2</v>
      </c>
      <c r="E317">
        <v>31.15</v>
      </c>
      <c r="F317" t="s">
        <v>16</v>
      </c>
      <c r="G317" t="str">
        <f t="shared" si="8"/>
        <v>March</v>
      </c>
      <c r="H317" t="str">
        <f t="shared" si="9"/>
        <v>Wednesday</v>
      </c>
    </row>
    <row r="318" spans="1:8" x14ac:dyDescent="0.3">
      <c r="A318" s="1">
        <v>44687</v>
      </c>
      <c r="B318" t="s">
        <v>18</v>
      </c>
      <c r="C318" t="s">
        <v>23</v>
      </c>
      <c r="D318">
        <v>8</v>
      </c>
      <c r="E318">
        <v>89.9</v>
      </c>
      <c r="F318" t="s">
        <v>22</v>
      </c>
      <c r="G318" t="str">
        <f t="shared" si="8"/>
        <v>May</v>
      </c>
      <c r="H318" t="str">
        <f t="shared" si="9"/>
        <v>Friday</v>
      </c>
    </row>
    <row r="319" spans="1:8" x14ac:dyDescent="0.3">
      <c r="A319" s="1">
        <v>44676</v>
      </c>
      <c r="B319" t="s">
        <v>9</v>
      </c>
      <c r="C319" t="s">
        <v>20</v>
      </c>
      <c r="D319">
        <v>5</v>
      </c>
      <c r="E319">
        <v>64.41</v>
      </c>
      <c r="F319" t="s">
        <v>16</v>
      </c>
      <c r="G319" t="str">
        <f t="shared" si="8"/>
        <v>April</v>
      </c>
      <c r="H319" t="str">
        <f t="shared" si="9"/>
        <v>Monday</v>
      </c>
    </row>
    <row r="320" spans="1:8" x14ac:dyDescent="0.3">
      <c r="A320" s="1">
        <v>44648</v>
      </c>
      <c r="B320" t="s">
        <v>9</v>
      </c>
      <c r="C320" t="s">
        <v>7</v>
      </c>
      <c r="D320">
        <v>20</v>
      </c>
      <c r="E320">
        <v>186.45</v>
      </c>
      <c r="F320" t="s">
        <v>8</v>
      </c>
      <c r="G320" t="str">
        <f t="shared" si="8"/>
        <v>March</v>
      </c>
      <c r="H320" t="str">
        <f t="shared" si="9"/>
        <v>Monday</v>
      </c>
    </row>
    <row r="321" spans="1:8" x14ac:dyDescent="0.3">
      <c r="A321" s="1">
        <v>44790</v>
      </c>
      <c r="B321" t="s">
        <v>18</v>
      </c>
      <c r="C321" t="s">
        <v>23</v>
      </c>
      <c r="D321">
        <v>19</v>
      </c>
      <c r="E321">
        <v>468.28</v>
      </c>
      <c r="F321" t="s">
        <v>8</v>
      </c>
      <c r="G321" t="str">
        <f t="shared" si="8"/>
        <v>August</v>
      </c>
      <c r="H321" t="str">
        <f t="shared" si="9"/>
        <v>Wednesday</v>
      </c>
    </row>
    <row r="322" spans="1:8" x14ac:dyDescent="0.3">
      <c r="A322" s="1">
        <v>44802</v>
      </c>
      <c r="B322" t="s">
        <v>6</v>
      </c>
      <c r="C322" t="s">
        <v>10</v>
      </c>
      <c r="D322">
        <v>9</v>
      </c>
      <c r="E322">
        <v>188.06</v>
      </c>
      <c r="F322" t="s">
        <v>16</v>
      </c>
      <c r="G322" t="str">
        <f t="shared" si="8"/>
        <v>August</v>
      </c>
      <c r="H322" t="str">
        <f t="shared" si="9"/>
        <v>Monday</v>
      </c>
    </row>
    <row r="323" spans="1:8" x14ac:dyDescent="0.3">
      <c r="A323" s="1">
        <v>44715</v>
      </c>
      <c r="B323" t="s">
        <v>9</v>
      </c>
      <c r="C323" t="s">
        <v>7</v>
      </c>
      <c r="D323">
        <v>4</v>
      </c>
      <c r="E323">
        <v>48.71</v>
      </c>
      <c r="F323" t="s">
        <v>11</v>
      </c>
      <c r="G323" t="str">
        <f t="shared" ref="G323:G334" si="10">TEXT(A323,"mmmm")</f>
        <v>June</v>
      </c>
      <c r="H323" t="str">
        <f t="shared" ref="H323:H334" si="11">TEXT(A323,"dddd")</f>
        <v>Friday</v>
      </c>
    </row>
    <row r="324" spans="1:8" x14ac:dyDescent="0.3">
      <c r="A324" s="1">
        <v>44663</v>
      </c>
      <c r="B324" t="s">
        <v>17</v>
      </c>
      <c r="C324" t="s">
        <v>20</v>
      </c>
      <c r="D324">
        <v>18</v>
      </c>
      <c r="E324">
        <v>161.49</v>
      </c>
      <c r="F324" t="s">
        <v>8</v>
      </c>
      <c r="G324" t="str">
        <f t="shared" si="10"/>
        <v>April</v>
      </c>
      <c r="H324" t="str">
        <f t="shared" si="11"/>
        <v>Tuesday</v>
      </c>
    </row>
    <row r="325" spans="1:8" x14ac:dyDescent="0.3">
      <c r="A325" s="1">
        <v>44608</v>
      </c>
      <c r="B325" t="s">
        <v>9</v>
      </c>
      <c r="C325" t="s">
        <v>10</v>
      </c>
      <c r="D325">
        <v>5</v>
      </c>
      <c r="E325">
        <v>120.28</v>
      </c>
      <c r="F325" t="s">
        <v>16</v>
      </c>
      <c r="G325" t="str">
        <f t="shared" si="10"/>
        <v>February</v>
      </c>
      <c r="H325" t="str">
        <f t="shared" si="11"/>
        <v>Wednesday</v>
      </c>
    </row>
    <row r="326" spans="1:8" x14ac:dyDescent="0.3">
      <c r="A326" s="1">
        <v>44568</v>
      </c>
      <c r="B326" t="s">
        <v>9</v>
      </c>
      <c r="C326" t="s">
        <v>20</v>
      </c>
      <c r="D326">
        <v>8</v>
      </c>
      <c r="E326">
        <v>149.88999999999999</v>
      </c>
      <c r="F326" t="s">
        <v>11</v>
      </c>
      <c r="G326" t="str">
        <f t="shared" si="10"/>
        <v>January</v>
      </c>
      <c r="H326" t="str">
        <f t="shared" si="11"/>
        <v>Friday</v>
      </c>
    </row>
    <row r="327" spans="1:8" x14ac:dyDescent="0.3">
      <c r="A327" s="1">
        <v>44779</v>
      </c>
      <c r="B327" t="s">
        <v>18</v>
      </c>
      <c r="C327" t="s">
        <v>23</v>
      </c>
      <c r="D327">
        <v>9</v>
      </c>
      <c r="E327">
        <v>128.33000000000001</v>
      </c>
      <c r="F327" t="s">
        <v>8</v>
      </c>
      <c r="G327" t="str">
        <f t="shared" si="10"/>
        <v>August</v>
      </c>
      <c r="H327" t="str">
        <f t="shared" si="11"/>
        <v>Saturday</v>
      </c>
    </row>
    <row r="328" spans="1:8" x14ac:dyDescent="0.3">
      <c r="A328" s="1">
        <v>44765</v>
      </c>
      <c r="B328" t="s">
        <v>9</v>
      </c>
      <c r="C328" t="s">
        <v>10</v>
      </c>
      <c r="D328">
        <v>4</v>
      </c>
      <c r="E328">
        <v>73.27</v>
      </c>
      <c r="F328" t="s">
        <v>16</v>
      </c>
      <c r="G328" t="str">
        <f t="shared" si="10"/>
        <v>July</v>
      </c>
      <c r="H328" t="str">
        <f t="shared" si="11"/>
        <v>Saturday</v>
      </c>
    </row>
    <row r="329" spans="1:8" x14ac:dyDescent="0.3">
      <c r="A329" s="1">
        <v>44774</v>
      </c>
      <c r="B329" t="s">
        <v>15</v>
      </c>
      <c r="C329" t="s">
        <v>19</v>
      </c>
      <c r="D329">
        <v>5</v>
      </c>
      <c r="E329">
        <v>103.86</v>
      </c>
      <c r="F329" t="s">
        <v>22</v>
      </c>
      <c r="G329" t="str">
        <f t="shared" si="10"/>
        <v>August</v>
      </c>
      <c r="H329" t="str">
        <f t="shared" si="11"/>
        <v>Monday</v>
      </c>
    </row>
    <row r="330" spans="1:8" x14ac:dyDescent="0.3">
      <c r="A330" s="1">
        <v>44600</v>
      </c>
      <c r="B330" t="s">
        <v>15</v>
      </c>
      <c r="C330" t="s">
        <v>20</v>
      </c>
      <c r="D330">
        <v>15</v>
      </c>
      <c r="E330">
        <v>302.45999999999998</v>
      </c>
      <c r="F330" t="s">
        <v>14</v>
      </c>
      <c r="G330" t="str">
        <f t="shared" si="10"/>
        <v>February</v>
      </c>
      <c r="H330" t="str">
        <f t="shared" si="11"/>
        <v>Tuesday</v>
      </c>
    </row>
    <row r="331" spans="1:8" x14ac:dyDescent="0.3">
      <c r="A331" s="1">
        <v>44801</v>
      </c>
      <c r="B331" t="s">
        <v>21</v>
      </c>
      <c r="C331" t="s">
        <v>24</v>
      </c>
      <c r="D331">
        <v>3</v>
      </c>
      <c r="E331">
        <v>52.5</v>
      </c>
      <c r="F331" t="s">
        <v>22</v>
      </c>
      <c r="G331" t="str">
        <f t="shared" si="10"/>
        <v>August</v>
      </c>
      <c r="H331" t="str">
        <f t="shared" si="11"/>
        <v>Sunday</v>
      </c>
    </row>
    <row r="332" spans="1:8" x14ac:dyDescent="0.3">
      <c r="A332" s="1">
        <v>44668</v>
      </c>
      <c r="B332" t="s">
        <v>18</v>
      </c>
      <c r="C332" t="s">
        <v>7</v>
      </c>
      <c r="D332">
        <v>5</v>
      </c>
      <c r="E332">
        <v>65.67</v>
      </c>
      <c r="F332" t="s">
        <v>14</v>
      </c>
      <c r="G332" t="str">
        <f t="shared" si="10"/>
        <v>April</v>
      </c>
      <c r="H332" t="str">
        <f t="shared" si="11"/>
        <v>Sunday</v>
      </c>
    </row>
    <row r="333" spans="1:8" x14ac:dyDescent="0.3">
      <c r="A333" s="1">
        <v>44566</v>
      </c>
      <c r="B333" t="s">
        <v>17</v>
      </c>
      <c r="C333" t="s">
        <v>24</v>
      </c>
      <c r="D333">
        <v>17</v>
      </c>
      <c r="E333">
        <v>247.43</v>
      </c>
      <c r="F333" t="s">
        <v>16</v>
      </c>
      <c r="G333" t="str">
        <f t="shared" si="10"/>
        <v>January</v>
      </c>
      <c r="H333" t="str">
        <f t="shared" si="11"/>
        <v>Wednesday</v>
      </c>
    </row>
    <row r="334" spans="1:8" x14ac:dyDescent="0.3">
      <c r="A334" s="1">
        <v>44784</v>
      </c>
      <c r="B334" t="s">
        <v>15</v>
      </c>
      <c r="C334" t="s">
        <v>23</v>
      </c>
      <c r="D334">
        <v>3</v>
      </c>
      <c r="E334">
        <v>65.98</v>
      </c>
      <c r="F334" t="s">
        <v>14</v>
      </c>
      <c r="G334" t="str">
        <f t="shared" si="10"/>
        <v>August</v>
      </c>
      <c r="H334" t="str">
        <f t="shared" si="11"/>
        <v>Thursday</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557D6-DC31-4F0D-A687-2BA9CB3C5997}">
  <dimension ref="A3:B11"/>
  <sheetViews>
    <sheetView workbookViewId="0">
      <selection activeCell="D25" sqref="D25"/>
    </sheetView>
  </sheetViews>
  <sheetFormatPr defaultRowHeight="14.4" x14ac:dyDescent="0.3"/>
  <cols>
    <col min="1" max="1" width="16" bestFit="1" customWidth="1"/>
    <col min="2" max="2" width="19.88671875" bestFit="1" customWidth="1"/>
  </cols>
  <sheetData>
    <row r="3" spans="1:2" x14ac:dyDescent="0.3">
      <c r="A3" s="2" t="s">
        <v>26</v>
      </c>
      <c r="B3" t="s">
        <v>45</v>
      </c>
    </row>
    <row r="4" spans="1:2" x14ac:dyDescent="0.3">
      <c r="A4" s="3" t="s">
        <v>21</v>
      </c>
      <c r="B4" s="5">
        <v>518</v>
      </c>
    </row>
    <row r="5" spans="1:2" x14ac:dyDescent="0.3">
      <c r="A5" s="3" t="s">
        <v>9</v>
      </c>
      <c r="B5" s="5">
        <v>573</v>
      </c>
    </row>
    <row r="6" spans="1:2" x14ac:dyDescent="0.3">
      <c r="A6" s="3" t="s">
        <v>12</v>
      </c>
      <c r="B6" s="5">
        <v>484</v>
      </c>
    </row>
    <row r="7" spans="1:2" x14ac:dyDescent="0.3">
      <c r="A7" s="3" t="s">
        <v>15</v>
      </c>
      <c r="B7" s="5">
        <v>612</v>
      </c>
    </row>
    <row r="8" spans="1:2" x14ac:dyDescent="0.3">
      <c r="A8" s="3" t="s">
        <v>17</v>
      </c>
      <c r="B8" s="5">
        <v>458</v>
      </c>
    </row>
    <row r="9" spans="1:2" x14ac:dyDescent="0.3">
      <c r="A9" s="3" t="s">
        <v>18</v>
      </c>
      <c r="B9" s="5">
        <v>489</v>
      </c>
    </row>
    <row r="10" spans="1:2" x14ac:dyDescent="0.3">
      <c r="A10" s="3" t="s">
        <v>6</v>
      </c>
      <c r="B10" s="5">
        <v>354</v>
      </c>
    </row>
    <row r="11" spans="1:2" x14ac:dyDescent="0.3">
      <c r="A11" s="3" t="s">
        <v>27</v>
      </c>
      <c r="B11" s="5">
        <v>3488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8606D-54D3-4C2F-8BD4-89E7B40C2420}">
  <dimension ref="A3:B11"/>
  <sheetViews>
    <sheetView workbookViewId="0">
      <selection activeCell="A15" sqref="A15"/>
    </sheetView>
  </sheetViews>
  <sheetFormatPr defaultRowHeight="14.4" x14ac:dyDescent="0.3"/>
  <cols>
    <col min="1" max="1" width="16" bestFit="1" customWidth="1"/>
    <col min="2" max="2" width="17.33203125" bestFit="1" customWidth="1"/>
  </cols>
  <sheetData>
    <row r="3" spans="1:2" x14ac:dyDescent="0.3">
      <c r="A3" s="2" t="s">
        <v>26</v>
      </c>
      <c r="B3" t="s">
        <v>28</v>
      </c>
    </row>
    <row r="4" spans="1:2" x14ac:dyDescent="0.3">
      <c r="A4" s="3" t="s">
        <v>21</v>
      </c>
      <c r="B4" s="5">
        <v>7782.5799999999972</v>
      </c>
    </row>
    <row r="5" spans="1:2" x14ac:dyDescent="0.3">
      <c r="A5" s="3" t="s">
        <v>9</v>
      </c>
      <c r="B5" s="5">
        <v>9736.2800000000007</v>
      </c>
    </row>
    <row r="6" spans="1:2" x14ac:dyDescent="0.3">
      <c r="A6" s="3" t="s">
        <v>12</v>
      </c>
      <c r="B6" s="5">
        <v>7917.0100000000011</v>
      </c>
    </row>
    <row r="7" spans="1:2" x14ac:dyDescent="0.3">
      <c r="A7" s="3" t="s">
        <v>15</v>
      </c>
      <c r="B7" s="5">
        <v>11056.61</v>
      </c>
    </row>
    <row r="8" spans="1:2" x14ac:dyDescent="0.3">
      <c r="A8" s="3" t="s">
        <v>17</v>
      </c>
      <c r="B8" s="5">
        <v>8036.3600000000006</v>
      </c>
    </row>
    <row r="9" spans="1:2" x14ac:dyDescent="0.3">
      <c r="A9" s="3" t="s">
        <v>18</v>
      </c>
      <c r="B9" s="5">
        <v>8407.3599999999988</v>
      </c>
    </row>
    <row r="10" spans="1:2" x14ac:dyDescent="0.3">
      <c r="A10" s="3" t="s">
        <v>6</v>
      </c>
      <c r="B10" s="5">
        <v>5993.0900000000011</v>
      </c>
    </row>
    <row r="11" spans="1:2" x14ac:dyDescent="0.3">
      <c r="A11" s="3" t="s">
        <v>27</v>
      </c>
      <c r="B11" s="5">
        <v>58929.29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34A1C-0283-499A-BDFB-6E5312492316}">
  <dimension ref="A3:B12"/>
  <sheetViews>
    <sheetView workbookViewId="0">
      <selection activeCell="B17" sqref="B17"/>
    </sheetView>
  </sheetViews>
  <sheetFormatPr defaultRowHeight="14.4" x14ac:dyDescent="0.3"/>
  <cols>
    <col min="1" max="1" width="12.5546875" bestFit="1" customWidth="1"/>
    <col min="2" max="2" width="17.33203125" bestFit="1" customWidth="1"/>
  </cols>
  <sheetData>
    <row r="3" spans="1:2" x14ac:dyDescent="0.3">
      <c r="A3" s="2" t="s">
        <v>26</v>
      </c>
      <c r="B3" t="s">
        <v>28</v>
      </c>
    </row>
    <row r="4" spans="1:2" x14ac:dyDescent="0.3">
      <c r="A4" s="3" t="s">
        <v>29</v>
      </c>
      <c r="B4" s="4">
        <v>5536.3900000000012</v>
      </c>
    </row>
    <row r="5" spans="1:2" x14ac:dyDescent="0.3">
      <c r="A5" s="3" t="s">
        <v>30</v>
      </c>
      <c r="B5" s="4">
        <v>7451.5000000000009</v>
      </c>
    </row>
    <row r="6" spans="1:2" x14ac:dyDescent="0.3">
      <c r="A6" s="3" t="s">
        <v>31</v>
      </c>
      <c r="B6" s="4">
        <v>7062.15</v>
      </c>
    </row>
    <row r="7" spans="1:2" x14ac:dyDescent="0.3">
      <c r="A7" s="3" t="s">
        <v>32</v>
      </c>
      <c r="B7" s="4">
        <v>7339.1499999999987</v>
      </c>
    </row>
    <row r="8" spans="1:2" x14ac:dyDescent="0.3">
      <c r="A8" s="3" t="s">
        <v>33</v>
      </c>
      <c r="B8" s="4">
        <v>8884.9999999999982</v>
      </c>
    </row>
    <row r="9" spans="1:2" x14ac:dyDescent="0.3">
      <c r="A9" s="3" t="s">
        <v>34</v>
      </c>
      <c r="B9" s="4">
        <v>7019.5599999999995</v>
      </c>
    </row>
    <row r="10" spans="1:2" x14ac:dyDescent="0.3">
      <c r="A10" s="3" t="s">
        <v>35</v>
      </c>
      <c r="B10" s="4">
        <v>8754.4399999999987</v>
      </c>
    </row>
    <row r="11" spans="1:2" x14ac:dyDescent="0.3">
      <c r="A11" s="3" t="s">
        <v>36</v>
      </c>
      <c r="B11" s="4">
        <v>6881.0999999999976</v>
      </c>
    </row>
    <row r="12" spans="1:2" x14ac:dyDescent="0.3">
      <c r="A12" s="3" t="s">
        <v>27</v>
      </c>
      <c r="B12" s="4">
        <v>58929.289999999986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053B4-707E-47EC-BE17-1DA9D16C319B}">
  <dimension ref="A3:B11"/>
  <sheetViews>
    <sheetView workbookViewId="0">
      <selection activeCell="K8" sqref="K8"/>
    </sheetView>
  </sheetViews>
  <sheetFormatPr defaultRowHeight="14.4" x14ac:dyDescent="0.3"/>
  <cols>
    <col min="1" max="1" width="12.5546875" bestFit="1" customWidth="1"/>
    <col min="2" max="2" width="17.33203125" bestFit="1" customWidth="1"/>
    <col min="3" max="3" width="19.88671875" bestFit="1" customWidth="1"/>
  </cols>
  <sheetData>
    <row r="3" spans="1:2" x14ac:dyDescent="0.3">
      <c r="A3" s="2" t="s">
        <v>26</v>
      </c>
      <c r="B3" t="s">
        <v>28</v>
      </c>
    </row>
    <row r="4" spans="1:2" x14ac:dyDescent="0.3">
      <c r="A4" s="3" t="s">
        <v>38</v>
      </c>
      <c r="B4" s="5">
        <v>8629.0799999999981</v>
      </c>
    </row>
    <row r="5" spans="1:2" x14ac:dyDescent="0.3">
      <c r="A5" s="3" t="s">
        <v>39</v>
      </c>
      <c r="B5" s="5">
        <v>7349.64</v>
      </c>
    </row>
    <row r="6" spans="1:2" x14ac:dyDescent="0.3">
      <c r="A6" s="3" t="s">
        <v>40</v>
      </c>
      <c r="B6" s="5">
        <v>7251.7199999999993</v>
      </c>
    </row>
    <row r="7" spans="1:2" x14ac:dyDescent="0.3">
      <c r="A7" s="3" t="s">
        <v>41</v>
      </c>
      <c r="B7" s="5">
        <v>9367.340000000002</v>
      </c>
    </row>
    <row r="8" spans="1:2" x14ac:dyDescent="0.3">
      <c r="A8" s="3" t="s">
        <v>42</v>
      </c>
      <c r="B8" s="5">
        <v>7690.7299999999977</v>
      </c>
    </row>
    <row r="9" spans="1:2" x14ac:dyDescent="0.3">
      <c r="A9" s="3" t="s">
        <v>43</v>
      </c>
      <c r="B9" s="5">
        <v>10651.28</v>
      </c>
    </row>
    <row r="10" spans="1:2" x14ac:dyDescent="0.3">
      <c r="A10" s="3" t="s">
        <v>44</v>
      </c>
      <c r="B10" s="5">
        <v>7989.5</v>
      </c>
    </row>
    <row r="11" spans="1:2" x14ac:dyDescent="0.3">
      <c r="A11" s="3" t="s">
        <v>27</v>
      </c>
      <c r="B11" s="5">
        <v>58929.289999999994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B556A-5FC5-4B54-B5BC-E91D852A679B}">
  <dimension ref="A3:B9"/>
  <sheetViews>
    <sheetView workbookViewId="0">
      <selection activeCell="L9" sqref="L9"/>
    </sheetView>
  </sheetViews>
  <sheetFormatPr defaultRowHeight="14.4" x14ac:dyDescent="0.3"/>
  <cols>
    <col min="1" max="1" width="12.5546875" bestFit="1" customWidth="1"/>
    <col min="2" max="2" width="19.88671875" bestFit="1" customWidth="1"/>
  </cols>
  <sheetData>
    <row r="3" spans="1:2" x14ac:dyDescent="0.3">
      <c r="A3" s="2" t="s">
        <v>26</v>
      </c>
      <c r="B3" t="s">
        <v>45</v>
      </c>
    </row>
    <row r="4" spans="1:2" x14ac:dyDescent="0.3">
      <c r="A4" s="3" t="s">
        <v>8</v>
      </c>
      <c r="B4" s="5">
        <v>587</v>
      </c>
    </row>
    <row r="5" spans="1:2" x14ac:dyDescent="0.3">
      <c r="A5" s="3" t="s">
        <v>11</v>
      </c>
      <c r="B5" s="5">
        <v>689</v>
      </c>
    </row>
    <row r="6" spans="1:2" x14ac:dyDescent="0.3">
      <c r="A6" s="3" t="s">
        <v>22</v>
      </c>
      <c r="B6" s="5">
        <v>665</v>
      </c>
    </row>
    <row r="7" spans="1:2" x14ac:dyDescent="0.3">
      <c r="A7" s="3" t="s">
        <v>14</v>
      </c>
      <c r="B7" s="5">
        <v>752</v>
      </c>
    </row>
    <row r="8" spans="1:2" x14ac:dyDescent="0.3">
      <c r="A8" s="3" t="s">
        <v>16</v>
      </c>
      <c r="B8" s="5">
        <v>795</v>
      </c>
    </row>
    <row r="9" spans="1:2" x14ac:dyDescent="0.3">
      <c r="A9" s="3" t="s">
        <v>27</v>
      </c>
      <c r="B9" s="5">
        <v>3488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7B7A6-9F90-4D4C-95A1-DA300DCACDDA}">
  <dimension ref="A3:B11"/>
  <sheetViews>
    <sheetView workbookViewId="0">
      <selection activeCell="K7" sqref="K7"/>
    </sheetView>
  </sheetViews>
  <sheetFormatPr defaultRowHeight="14.4" x14ac:dyDescent="0.3"/>
  <cols>
    <col min="1" max="1" width="12.5546875" bestFit="1" customWidth="1"/>
    <col min="2" max="2" width="17.33203125" bestFit="1" customWidth="1"/>
  </cols>
  <sheetData>
    <row r="3" spans="1:2" x14ac:dyDescent="0.3">
      <c r="A3" s="2" t="s">
        <v>26</v>
      </c>
      <c r="B3" t="s">
        <v>28</v>
      </c>
    </row>
    <row r="4" spans="1:2" x14ac:dyDescent="0.3">
      <c r="A4" s="3" t="s">
        <v>24</v>
      </c>
      <c r="B4" s="5">
        <v>7039.07</v>
      </c>
    </row>
    <row r="5" spans="1:2" x14ac:dyDescent="0.3">
      <c r="A5" s="3" t="s">
        <v>7</v>
      </c>
      <c r="B5" s="5">
        <v>6896.1499999999987</v>
      </c>
    </row>
    <row r="6" spans="1:2" x14ac:dyDescent="0.3">
      <c r="A6" s="3" t="s">
        <v>10</v>
      </c>
      <c r="B6" s="5">
        <v>10416.34</v>
      </c>
    </row>
    <row r="7" spans="1:2" x14ac:dyDescent="0.3">
      <c r="A7" s="3" t="s">
        <v>19</v>
      </c>
      <c r="B7" s="5">
        <v>9121.7800000000043</v>
      </c>
    </row>
    <row r="8" spans="1:2" x14ac:dyDescent="0.3">
      <c r="A8" s="3" t="s">
        <v>23</v>
      </c>
      <c r="B8" s="5">
        <v>11023.530000000002</v>
      </c>
    </row>
    <row r="9" spans="1:2" x14ac:dyDescent="0.3">
      <c r="A9" s="3" t="s">
        <v>13</v>
      </c>
      <c r="B9" s="5">
        <v>7945.9699999999993</v>
      </c>
    </row>
    <row r="10" spans="1:2" x14ac:dyDescent="0.3">
      <c r="A10" s="3" t="s">
        <v>20</v>
      </c>
      <c r="B10" s="5">
        <v>6486.45</v>
      </c>
    </row>
    <row r="11" spans="1:2" x14ac:dyDescent="0.3">
      <c r="A11" s="3" t="s">
        <v>27</v>
      </c>
      <c r="B11" s="5">
        <v>58929.290000000008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AE965-ADD7-4D44-99D2-33A2DBFD0270}">
  <dimension ref="A1:AJ65"/>
  <sheetViews>
    <sheetView tabSelected="1" zoomScale="49" zoomScaleNormal="47" workbookViewId="0">
      <selection activeCell="AC36" sqref="AC36"/>
    </sheetView>
  </sheetViews>
  <sheetFormatPr defaultRowHeight="14.4" x14ac:dyDescent="0.3"/>
  <sheetData>
    <row r="1" spans="1:26" x14ac:dyDescent="0.3">
      <c r="A1" s="9"/>
      <c r="B1" s="6"/>
      <c r="C1" s="6"/>
      <c r="D1" s="6"/>
      <c r="E1" s="6"/>
      <c r="F1" s="6"/>
      <c r="G1" s="6"/>
      <c r="H1" s="6"/>
      <c r="I1" s="6"/>
      <c r="J1" s="6"/>
      <c r="K1" s="6"/>
      <c r="L1" s="6"/>
      <c r="M1" s="6"/>
      <c r="N1" s="6"/>
      <c r="O1" s="6"/>
      <c r="P1" s="6"/>
      <c r="Q1" s="6"/>
      <c r="R1" s="6"/>
      <c r="S1" s="6"/>
      <c r="T1" s="6"/>
      <c r="U1" s="6"/>
      <c r="V1" s="6"/>
      <c r="W1" s="6"/>
      <c r="X1" s="6"/>
      <c r="Y1" s="6"/>
      <c r="Z1" s="11"/>
    </row>
    <row r="2" spans="1:26" x14ac:dyDescent="0.3">
      <c r="A2" s="10"/>
      <c r="B2" s="6"/>
      <c r="C2" s="6"/>
      <c r="D2" s="6"/>
      <c r="E2" s="6"/>
      <c r="F2" s="6"/>
      <c r="G2" s="6"/>
      <c r="H2" s="6"/>
      <c r="I2" s="6"/>
      <c r="J2" s="6"/>
      <c r="K2" s="6"/>
      <c r="L2" s="6"/>
      <c r="M2" s="6"/>
      <c r="N2" s="6"/>
      <c r="O2" s="6"/>
      <c r="P2" s="6"/>
      <c r="Q2" s="6"/>
      <c r="R2" s="6"/>
      <c r="S2" s="6"/>
      <c r="T2" s="6"/>
      <c r="U2" s="6"/>
      <c r="V2" s="6"/>
      <c r="W2" s="6"/>
      <c r="X2" s="6"/>
      <c r="Y2" s="6"/>
      <c r="Z2" s="11"/>
    </row>
    <row r="3" spans="1:26" x14ac:dyDescent="0.3">
      <c r="A3" s="10"/>
      <c r="B3" s="6"/>
      <c r="C3" s="6"/>
      <c r="D3" s="6"/>
      <c r="E3" s="6"/>
      <c r="F3" s="6"/>
      <c r="G3" s="6"/>
      <c r="H3" s="6"/>
      <c r="I3" s="6"/>
      <c r="J3" s="6"/>
      <c r="K3" s="6"/>
      <c r="L3" s="6"/>
      <c r="M3" s="6"/>
      <c r="N3" s="6"/>
      <c r="O3" s="6"/>
      <c r="P3" s="6"/>
      <c r="Q3" s="6"/>
      <c r="R3" s="6"/>
      <c r="S3" s="6"/>
      <c r="T3" s="6"/>
      <c r="U3" s="6"/>
      <c r="V3" s="6"/>
      <c r="W3" s="6"/>
      <c r="X3" s="6"/>
      <c r="Y3" s="6"/>
      <c r="Z3" s="11"/>
    </row>
    <row r="4" spans="1:26" x14ac:dyDescent="0.3">
      <c r="A4" s="10"/>
      <c r="B4" s="6"/>
      <c r="C4" s="6"/>
      <c r="D4" s="6"/>
      <c r="E4" s="6"/>
      <c r="F4" s="6"/>
      <c r="G4" s="6"/>
      <c r="H4" s="6"/>
      <c r="I4" s="6"/>
      <c r="J4" s="6"/>
      <c r="K4" s="6"/>
      <c r="L4" s="6"/>
      <c r="M4" s="6"/>
      <c r="N4" s="6"/>
      <c r="O4" s="6"/>
      <c r="P4" s="6"/>
      <c r="Q4" s="6"/>
      <c r="R4" s="6"/>
      <c r="S4" s="6"/>
      <c r="T4" s="6"/>
      <c r="U4" s="6"/>
      <c r="V4" s="6"/>
      <c r="W4" s="6"/>
      <c r="X4" s="6"/>
      <c r="Y4" s="6"/>
      <c r="Z4" s="11"/>
    </row>
    <row r="5" spans="1:26" x14ac:dyDescent="0.3">
      <c r="A5" s="10"/>
      <c r="B5" s="6"/>
      <c r="C5" s="6"/>
      <c r="D5" s="6"/>
      <c r="E5" s="6"/>
      <c r="F5" s="6"/>
      <c r="G5" s="6"/>
      <c r="H5" s="6"/>
      <c r="I5" s="6"/>
      <c r="J5" s="6"/>
      <c r="K5" s="6"/>
      <c r="L5" s="6"/>
      <c r="M5" s="6"/>
      <c r="N5" s="6"/>
      <c r="O5" s="6"/>
      <c r="P5" s="6"/>
      <c r="Q5" s="6"/>
      <c r="R5" s="6"/>
      <c r="S5" s="6"/>
      <c r="T5" s="6"/>
      <c r="U5" s="6"/>
      <c r="V5" s="6"/>
      <c r="W5" s="6"/>
      <c r="X5" s="6"/>
      <c r="Y5" s="6"/>
      <c r="Z5" s="11"/>
    </row>
    <row r="6" spans="1:26" x14ac:dyDescent="0.3">
      <c r="A6" s="10"/>
      <c r="B6" s="6"/>
      <c r="C6" s="6"/>
      <c r="D6" s="6"/>
      <c r="E6" s="6"/>
      <c r="F6" s="6"/>
      <c r="G6" s="6"/>
      <c r="H6" s="6"/>
      <c r="I6" s="6"/>
      <c r="J6" s="6"/>
      <c r="K6" s="6"/>
      <c r="L6" s="6"/>
      <c r="M6" s="6"/>
      <c r="N6" s="6"/>
      <c r="O6" s="6"/>
      <c r="P6" s="6"/>
      <c r="Q6" s="6"/>
      <c r="R6" s="6"/>
      <c r="S6" s="6"/>
      <c r="T6" s="6"/>
      <c r="U6" s="6"/>
      <c r="V6" s="6"/>
      <c r="W6" s="6"/>
      <c r="X6" s="6"/>
      <c r="Y6" s="6"/>
      <c r="Z6" s="11"/>
    </row>
    <row r="7" spans="1:26" x14ac:dyDescent="0.3">
      <c r="A7" s="10"/>
      <c r="B7" s="6"/>
      <c r="C7" s="6"/>
      <c r="D7" s="6"/>
      <c r="E7" s="6"/>
      <c r="F7" s="6"/>
      <c r="G7" s="6"/>
      <c r="H7" s="6"/>
      <c r="I7" s="6"/>
      <c r="J7" s="6"/>
      <c r="K7" s="6"/>
      <c r="L7" s="6"/>
      <c r="M7" s="6"/>
      <c r="N7" s="6"/>
      <c r="O7" s="6"/>
      <c r="P7" s="6"/>
      <c r="Q7" s="6"/>
      <c r="R7" s="6"/>
      <c r="S7" s="6"/>
      <c r="T7" s="6"/>
      <c r="U7" s="6"/>
      <c r="V7" s="6"/>
      <c r="W7" s="6"/>
      <c r="X7" s="6"/>
      <c r="Y7" s="6"/>
      <c r="Z7" s="11"/>
    </row>
    <row r="8" spans="1:26" ht="15" thickBot="1" x14ac:dyDescent="0.35">
      <c r="A8" s="25"/>
      <c r="B8" s="12"/>
      <c r="C8" s="12"/>
      <c r="D8" s="12"/>
      <c r="E8" s="12"/>
      <c r="F8" s="12"/>
      <c r="G8" s="12"/>
      <c r="H8" s="12"/>
      <c r="I8" s="12"/>
      <c r="J8" s="12"/>
      <c r="K8" s="12"/>
      <c r="L8" s="6"/>
      <c r="M8" s="6"/>
      <c r="N8" s="6"/>
      <c r="O8" s="6"/>
      <c r="P8" s="6"/>
      <c r="Q8" s="6"/>
      <c r="R8" s="6"/>
      <c r="S8" s="6"/>
      <c r="T8" s="6"/>
      <c r="U8" s="6"/>
      <c r="V8" s="6"/>
      <c r="W8" s="6"/>
      <c r="X8" s="6"/>
      <c r="Y8" s="6"/>
      <c r="Z8" s="11"/>
    </row>
    <row r="9" spans="1:26" x14ac:dyDescent="0.3">
      <c r="A9" s="7"/>
      <c r="B9" s="7"/>
      <c r="C9" s="7"/>
      <c r="D9" s="7"/>
      <c r="E9" s="7"/>
      <c r="F9" s="7"/>
      <c r="G9" s="7"/>
      <c r="H9" s="7"/>
      <c r="I9" s="7"/>
      <c r="J9" s="7"/>
      <c r="K9" s="7"/>
      <c r="L9" s="27"/>
      <c r="M9" s="6"/>
      <c r="N9" s="6"/>
      <c r="O9" s="26"/>
      <c r="P9" s="13"/>
      <c r="Q9" s="13"/>
      <c r="R9" s="13"/>
      <c r="S9" s="13"/>
      <c r="T9" s="13"/>
      <c r="U9" s="13"/>
      <c r="V9" s="13"/>
      <c r="W9" s="13"/>
      <c r="X9" s="13"/>
      <c r="Y9" s="13"/>
      <c r="Z9" s="14"/>
    </row>
    <row r="10" spans="1:26" x14ac:dyDescent="0.3">
      <c r="A10" s="7"/>
      <c r="B10" s="7"/>
      <c r="C10" s="7"/>
      <c r="D10" s="7"/>
      <c r="E10" s="7"/>
      <c r="F10" s="7"/>
      <c r="G10" s="7"/>
      <c r="H10" s="7"/>
      <c r="I10" s="7"/>
      <c r="J10" s="7"/>
      <c r="K10" s="7"/>
      <c r="L10" s="27"/>
      <c r="M10" s="6"/>
      <c r="N10" s="6"/>
      <c r="O10" s="26"/>
      <c r="P10" s="7"/>
      <c r="Q10" s="7"/>
      <c r="R10" s="7"/>
      <c r="S10" s="7"/>
      <c r="T10" s="7"/>
      <c r="U10" s="7"/>
      <c r="V10" s="7"/>
      <c r="W10" s="7"/>
      <c r="X10" s="7"/>
      <c r="Y10" s="7"/>
      <c r="Z10" s="15"/>
    </row>
    <row r="11" spans="1:26" x14ac:dyDescent="0.3">
      <c r="A11" s="7"/>
      <c r="B11" s="7"/>
      <c r="C11" s="7"/>
      <c r="D11" s="7"/>
      <c r="E11" s="7"/>
      <c r="F11" s="7"/>
      <c r="G11" s="7"/>
      <c r="H11" s="7"/>
      <c r="I11" s="7"/>
      <c r="J11" s="7"/>
      <c r="K11" s="7"/>
      <c r="L11" s="27"/>
      <c r="M11" s="6"/>
      <c r="N11" s="6"/>
      <c r="O11" s="26"/>
      <c r="P11" s="7"/>
      <c r="Q11" s="7"/>
      <c r="R11" s="7"/>
      <c r="S11" s="7"/>
      <c r="T11" s="7"/>
      <c r="U11" s="7"/>
      <c r="V11" s="7"/>
      <c r="W11" s="7"/>
      <c r="X11" s="7"/>
      <c r="Y11" s="7"/>
      <c r="Z11" s="15"/>
    </row>
    <row r="12" spans="1:26" ht="15" thickBot="1" x14ac:dyDescent="0.35">
      <c r="A12" s="16"/>
      <c r="B12" s="16"/>
      <c r="C12" s="16"/>
      <c r="D12" s="16"/>
      <c r="E12" s="16"/>
      <c r="F12" s="16"/>
      <c r="G12" s="16"/>
      <c r="H12" s="16"/>
      <c r="I12" s="16"/>
      <c r="J12" s="16"/>
      <c r="K12" s="16"/>
      <c r="L12" s="27"/>
      <c r="M12" s="6"/>
      <c r="N12" s="6"/>
      <c r="O12" s="26"/>
      <c r="P12" s="16"/>
      <c r="Q12" s="16"/>
      <c r="R12" s="16"/>
      <c r="S12" s="16"/>
      <c r="T12" s="16"/>
      <c r="U12" s="16"/>
      <c r="V12" s="16"/>
      <c r="W12" s="16"/>
      <c r="X12" s="16"/>
      <c r="Y12" s="16"/>
      <c r="Z12" s="17"/>
    </row>
    <row r="13" spans="1:26" x14ac:dyDescent="0.3">
      <c r="A13" s="18"/>
      <c r="B13" s="18"/>
      <c r="C13" s="18"/>
      <c r="D13" s="18"/>
      <c r="E13" s="18"/>
      <c r="F13" s="18"/>
      <c r="G13" s="18"/>
      <c r="H13" s="18"/>
      <c r="I13" s="18"/>
      <c r="J13" s="18"/>
      <c r="K13" s="18"/>
      <c r="L13" s="10"/>
      <c r="M13" s="6"/>
      <c r="N13" s="6"/>
      <c r="O13" s="11"/>
      <c r="P13" s="18"/>
      <c r="Q13" s="18"/>
      <c r="R13" s="18"/>
      <c r="S13" s="18"/>
      <c r="T13" s="18"/>
      <c r="U13" s="18"/>
      <c r="V13" s="18"/>
      <c r="W13" s="18"/>
      <c r="X13" s="18"/>
      <c r="Y13" s="18"/>
      <c r="Z13" s="19"/>
    </row>
    <row r="14" spans="1:26" x14ac:dyDescent="0.3">
      <c r="A14" s="18"/>
      <c r="B14" s="18"/>
      <c r="C14" s="18"/>
      <c r="D14" s="18"/>
      <c r="E14" s="18"/>
      <c r="F14" s="18"/>
      <c r="G14" s="18"/>
      <c r="H14" s="18"/>
      <c r="I14" s="18"/>
      <c r="J14" s="18"/>
      <c r="K14" s="18"/>
      <c r="L14" s="10"/>
      <c r="M14" s="6"/>
      <c r="N14" s="6"/>
      <c r="O14" s="11"/>
      <c r="P14" s="18"/>
      <c r="Q14" s="18"/>
      <c r="R14" s="18"/>
      <c r="S14" s="18"/>
      <c r="T14" s="18"/>
      <c r="U14" s="18"/>
      <c r="V14" s="18"/>
      <c r="W14" s="18"/>
      <c r="X14" s="18"/>
      <c r="Y14" s="18"/>
      <c r="Z14" s="19"/>
    </row>
    <row r="15" spans="1:26" x14ac:dyDescent="0.3">
      <c r="A15" s="18"/>
      <c r="B15" s="18"/>
      <c r="C15" s="18"/>
      <c r="D15" s="18"/>
      <c r="E15" s="18"/>
      <c r="F15" s="18"/>
      <c r="G15" s="18"/>
      <c r="H15" s="18"/>
      <c r="I15" s="18"/>
      <c r="J15" s="18"/>
      <c r="K15" s="18"/>
      <c r="L15" s="10"/>
      <c r="M15" s="6"/>
      <c r="N15" s="6"/>
      <c r="O15" s="11"/>
      <c r="P15" s="18"/>
      <c r="Q15" s="18"/>
      <c r="R15" s="18"/>
      <c r="S15" s="18"/>
      <c r="T15" s="18"/>
      <c r="U15" s="18"/>
      <c r="V15" s="18"/>
      <c r="W15" s="18"/>
      <c r="X15" s="18"/>
      <c r="Y15" s="18"/>
      <c r="Z15" s="19"/>
    </row>
    <row r="16" spans="1:26" x14ac:dyDescent="0.3">
      <c r="A16" s="18"/>
      <c r="B16" s="18"/>
      <c r="C16" s="18"/>
      <c r="D16" s="18"/>
      <c r="E16" s="18"/>
      <c r="F16" s="18"/>
      <c r="G16" s="18"/>
      <c r="H16" s="18"/>
      <c r="I16" s="18"/>
      <c r="J16" s="18"/>
      <c r="K16" s="18"/>
      <c r="L16" s="10"/>
      <c r="M16" s="6"/>
      <c r="N16" s="6"/>
      <c r="O16" s="11"/>
      <c r="P16" s="18"/>
      <c r="Q16" s="18"/>
      <c r="R16" s="18"/>
      <c r="S16" s="18"/>
      <c r="T16" s="18"/>
      <c r="U16" s="18"/>
      <c r="V16" s="18"/>
      <c r="W16" s="18"/>
      <c r="X16" s="18"/>
      <c r="Y16" s="18"/>
      <c r="Z16" s="19"/>
    </row>
    <row r="17" spans="1:26" x14ac:dyDescent="0.3">
      <c r="A17" s="18"/>
      <c r="B17" s="18"/>
      <c r="C17" s="18"/>
      <c r="D17" s="18"/>
      <c r="E17" s="18"/>
      <c r="F17" s="18"/>
      <c r="G17" s="18"/>
      <c r="H17" s="18"/>
      <c r="I17" s="18"/>
      <c r="J17" s="18"/>
      <c r="K17" s="18"/>
      <c r="L17" s="10"/>
      <c r="M17" s="6"/>
      <c r="N17" s="6"/>
      <c r="O17" s="11"/>
      <c r="P17" s="18"/>
      <c r="Q17" s="18"/>
      <c r="R17" s="18"/>
      <c r="S17" s="18"/>
      <c r="T17" s="18"/>
      <c r="U17" s="18"/>
      <c r="V17" s="18"/>
      <c r="W17" s="18"/>
      <c r="X17" s="18"/>
      <c r="Y17" s="18"/>
      <c r="Z17" s="19"/>
    </row>
    <row r="18" spans="1:26" x14ac:dyDescent="0.3">
      <c r="A18" s="18"/>
      <c r="B18" s="18"/>
      <c r="C18" s="18"/>
      <c r="D18" s="18"/>
      <c r="E18" s="18"/>
      <c r="F18" s="18"/>
      <c r="G18" s="18"/>
      <c r="H18" s="18"/>
      <c r="I18" s="18"/>
      <c r="J18" s="18"/>
      <c r="K18" s="18"/>
      <c r="L18" s="10"/>
      <c r="M18" s="6"/>
      <c r="N18" s="6"/>
      <c r="O18" s="11"/>
      <c r="P18" s="18"/>
      <c r="Q18" s="18"/>
      <c r="R18" s="18"/>
      <c r="S18" s="18"/>
      <c r="T18" s="18"/>
      <c r="U18" s="18"/>
      <c r="V18" s="18"/>
      <c r="W18" s="18"/>
      <c r="X18" s="18"/>
      <c r="Y18" s="18"/>
      <c r="Z18" s="19"/>
    </row>
    <row r="19" spans="1:26" x14ac:dyDescent="0.3">
      <c r="A19" s="18"/>
      <c r="B19" s="18"/>
      <c r="C19" s="18"/>
      <c r="D19" s="18"/>
      <c r="E19" s="18"/>
      <c r="F19" s="18"/>
      <c r="G19" s="18"/>
      <c r="H19" s="18"/>
      <c r="I19" s="18"/>
      <c r="J19" s="18"/>
      <c r="K19" s="18"/>
      <c r="L19" s="10"/>
      <c r="M19" s="6"/>
      <c r="N19" s="6"/>
      <c r="O19" s="11"/>
      <c r="P19" s="18"/>
      <c r="Q19" s="18"/>
      <c r="R19" s="18"/>
      <c r="S19" s="18"/>
      <c r="T19" s="18"/>
      <c r="U19" s="18"/>
      <c r="V19" s="18"/>
      <c r="W19" s="18"/>
      <c r="X19" s="18"/>
      <c r="Y19" s="18"/>
      <c r="Z19" s="19"/>
    </row>
    <row r="20" spans="1:26" x14ac:dyDescent="0.3">
      <c r="A20" s="18"/>
      <c r="B20" s="18"/>
      <c r="C20" s="18"/>
      <c r="D20" s="18"/>
      <c r="E20" s="18"/>
      <c r="F20" s="18"/>
      <c r="G20" s="18"/>
      <c r="H20" s="18"/>
      <c r="I20" s="18"/>
      <c r="J20" s="18"/>
      <c r="K20" s="18"/>
      <c r="L20" s="10"/>
      <c r="M20" s="6"/>
      <c r="N20" s="6"/>
      <c r="O20" s="11"/>
      <c r="P20" s="18"/>
      <c r="Q20" s="18"/>
      <c r="R20" s="18"/>
      <c r="S20" s="18"/>
      <c r="T20" s="18"/>
      <c r="U20" s="18"/>
      <c r="V20" s="18"/>
      <c r="W20" s="18"/>
      <c r="X20" s="18"/>
      <c r="Y20" s="18"/>
      <c r="Z20" s="19"/>
    </row>
    <row r="21" spans="1:26" x14ac:dyDescent="0.3">
      <c r="A21" s="18"/>
      <c r="B21" s="18"/>
      <c r="C21" s="18"/>
      <c r="D21" s="18"/>
      <c r="E21" s="18"/>
      <c r="F21" s="18"/>
      <c r="G21" s="18"/>
      <c r="H21" s="18"/>
      <c r="I21" s="18"/>
      <c r="J21" s="18"/>
      <c r="K21" s="18"/>
      <c r="L21" s="10"/>
      <c r="M21" s="6"/>
      <c r="N21" s="6"/>
      <c r="O21" s="11"/>
      <c r="P21" s="18"/>
      <c r="Q21" s="18"/>
      <c r="R21" s="18"/>
      <c r="S21" s="18"/>
      <c r="T21" s="18"/>
      <c r="U21" s="18"/>
      <c r="V21" s="18"/>
      <c r="W21" s="18"/>
      <c r="X21" s="18"/>
      <c r="Y21" s="18"/>
      <c r="Z21" s="19"/>
    </row>
    <row r="22" spans="1:26" x14ac:dyDescent="0.3">
      <c r="A22" s="18"/>
      <c r="B22" s="18"/>
      <c r="C22" s="18"/>
      <c r="D22" s="18"/>
      <c r="E22" s="18"/>
      <c r="F22" s="18"/>
      <c r="G22" s="18"/>
      <c r="H22" s="18"/>
      <c r="I22" s="18"/>
      <c r="J22" s="18"/>
      <c r="K22" s="18"/>
      <c r="L22" s="10"/>
      <c r="M22" s="6"/>
      <c r="N22" s="6"/>
      <c r="O22" s="11"/>
      <c r="P22" s="18"/>
      <c r="Q22" s="18"/>
      <c r="R22" s="18"/>
      <c r="S22" s="18"/>
      <c r="T22" s="18"/>
      <c r="U22" s="18"/>
      <c r="V22" s="18"/>
      <c r="W22" s="18"/>
      <c r="X22" s="18"/>
      <c r="Y22" s="18"/>
      <c r="Z22" s="19"/>
    </row>
    <row r="23" spans="1:26" x14ac:dyDescent="0.3">
      <c r="A23" s="18"/>
      <c r="B23" s="18"/>
      <c r="C23" s="18"/>
      <c r="D23" s="18"/>
      <c r="E23" s="18"/>
      <c r="F23" s="18"/>
      <c r="G23" s="18"/>
      <c r="H23" s="18"/>
      <c r="I23" s="18"/>
      <c r="J23" s="18"/>
      <c r="K23" s="18"/>
      <c r="L23" s="10"/>
      <c r="M23" s="6"/>
      <c r="N23" s="6"/>
      <c r="O23" s="11"/>
      <c r="P23" s="18"/>
      <c r="Q23" s="18"/>
      <c r="R23" s="18"/>
      <c r="S23" s="18"/>
      <c r="T23" s="18"/>
      <c r="U23" s="18"/>
      <c r="V23" s="18"/>
      <c r="W23" s="18"/>
      <c r="X23" s="18"/>
      <c r="Y23" s="18"/>
      <c r="Z23" s="19"/>
    </row>
    <row r="24" spans="1:26" x14ac:dyDescent="0.3">
      <c r="A24" s="18"/>
      <c r="B24" s="18"/>
      <c r="C24" s="18"/>
      <c r="D24" s="18"/>
      <c r="E24" s="18"/>
      <c r="F24" s="18"/>
      <c r="G24" s="18"/>
      <c r="H24" s="18"/>
      <c r="I24" s="18"/>
      <c r="J24" s="18"/>
      <c r="K24" s="18"/>
      <c r="L24" s="10"/>
      <c r="M24" s="6"/>
      <c r="N24" s="6"/>
      <c r="O24" s="11"/>
      <c r="P24" s="18"/>
      <c r="Q24" s="18"/>
      <c r="R24" s="18"/>
      <c r="S24" s="18"/>
      <c r="T24" s="18"/>
      <c r="U24" s="18"/>
      <c r="V24" s="18"/>
      <c r="W24" s="18"/>
      <c r="X24" s="18"/>
      <c r="Y24" s="18"/>
      <c r="Z24" s="19"/>
    </row>
    <row r="25" spans="1:26" x14ac:dyDescent="0.3">
      <c r="A25" s="18"/>
      <c r="B25" s="18"/>
      <c r="C25" s="18"/>
      <c r="D25" s="18"/>
      <c r="E25" s="18"/>
      <c r="F25" s="18"/>
      <c r="G25" s="18"/>
      <c r="H25" s="18"/>
      <c r="I25" s="18"/>
      <c r="J25" s="18"/>
      <c r="K25" s="18"/>
      <c r="L25" s="10"/>
      <c r="M25" s="6"/>
      <c r="N25" s="6"/>
      <c r="O25" s="11"/>
      <c r="P25" s="18"/>
      <c r="Q25" s="18"/>
      <c r="R25" s="18"/>
      <c r="S25" s="18"/>
      <c r="T25" s="18"/>
      <c r="U25" s="18"/>
      <c r="V25" s="18"/>
      <c r="W25" s="18"/>
      <c r="X25" s="18"/>
      <c r="Y25" s="18"/>
      <c r="Z25" s="19"/>
    </row>
    <row r="26" spans="1:26" x14ac:dyDescent="0.3">
      <c r="A26" s="18"/>
      <c r="B26" s="18"/>
      <c r="C26" s="18"/>
      <c r="D26" s="18"/>
      <c r="E26" s="18"/>
      <c r="F26" s="18"/>
      <c r="G26" s="18"/>
      <c r="H26" s="18"/>
      <c r="I26" s="18"/>
      <c r="J26" s="18"/>
      <c r="K26" s="18"/>
      <c r="L26" s="10"/>
      <c r="M26" s="6"/>
      <c r="N26" s="6"/>
      <c r="O26" s="11"/>
      <c r="P26" s="18"/>
      <c r="Q26" s="18"/>
      <c r="R26" s="18"/>
      <c r="S26" s="18"/>
      <c r="T26" s="18"/>
      <c r="U26" s="18"/>
      <c r="V26" s="18"/>
      <c r="W26" s="18"/>
      <c r="X26" s="18"/>
      <c r="Y26" s="18"/>
      <c r="Z26" s="19"/>
    </row>
    <row r="27" spans="1:26" x14ac:dyDescent="0.3">
      <c r="A27" s="18"/>
      <c r="B27" s="18"/>
      <c r="C27" s="18"/>
      <c r="D27" s="18"/>
      <c r="E27" s="18"/>
      <c r="F27" s="18"/>
      <c r="G27" s="18"/>
      <c r="H27" s="18"/>
      <c r="I27" s="18"/>
      <c r="J27" s="18"/>
      <c r="K27" s="18"/>
      <c r="L27" s="10"/>
      <c r="M27" s="6"/>
      <c r="N27" s="6"/>
      <c r="O27" s="11"/>
      <c r="P27" s="18"/>
      <c r="Q27" s="18"/>
      <c r="R27" s="18"/>
      <c r="S27" s="18"/>
      <c r="T27" s="18"/>
      <c r="U27" s="18"/>
      <c r="V27" s="18"/>
      <c r="W27" s="18"/>
      <c r="X27" s="18"/>
      <c r="Y27" s="18"/>
      <c r="Z27" s="19"/>
    </row>
    <row r="28" spans="1:26" x14ac:dyDescent="0.3">
      <c r="A28" s="18"/>
      <c r="B28" s="18"/>
      <c r="C28" s="18"/>
      <c r="D28" s="18"/>
      <c r="E28" s="18"/>
      <c r="F28" s="18"/>
      <c r="G28" s="18"/>
      <c r="H28" s="18"/>
      <c r="I28" s="18"/>
      <c r="J28" s="18"/>
      <c r="K28" s="18"/>
      <c r="L28" s="10"/>
      <c r="M28" s="6"/>
      <c r="N28" s="6"/>
      <c r="O28" s="11"/>
      <c r="P28" s="18"/>
      <c r="Q28" s="18"/>
      <c r="R28" s="18"/>
      <c r="S28" s="18"/>
      <c r="T28" s="18"/>
      <c r="U28" s="18"/>
      <c r="V28" s="18"/>
      <c r="W28" s="18"/>
      <c r="X28" s="18"/>
      <c r="Y28" s="18"/>
      <c r="Z28" s="19"/>
    </row>
    <row r="29" spans="1:26" x14ac:dyDescent="0.3">
      <c r="A29" s="18"/>
      <c r="B29" s="18"/>
      <c r="C29" s="18"/>
      <c r="D29" s="18"/>
      <c r="E29" s="18"/>
      <c r="F29" s="18"/>
      <c r="G29" s="18"/>
      <c r="H29" s="18"/>
      <c r="I29" s="18"/>
      <c r="J29" s="18"/>
      <c r="K29" s="18"/>
      <c r="L29" s="10"/>
      <c r="M29" s="6"/>
      <c r="N29" s="6"/>
      <c r="O29" s="11"/>
      <c r="P29" s="18"/>
      <c r="Q29" s="18"/>
      <c r="R29" s="18"/>
      <c r="S29" s="18"/>
      <c r="T29" s="18"/>
      <c r="U29" s="18"/>
      <c r="V29" s="18"/>
      <c r="W29" s="18"/>
      <c r="X29" s="18"/>
      <c r="Y29" s="18"/>
      <c r="Z29" s="19"/>
    </row>
    <row r="30" spans="1:26" x14ac:dyDescent="0.3">
      <c r="A30" s="18"/>
      <c r="B30" s="18"/>
      <c r="C30" s="18"/>
      <c r="D30" s="18"/>
      <c r="E30" s="18"/>
      <c r="F30" s="18"/>
      <c r="G30" s="18"/>
      <c r="H30" s="18"/>
      <c r="I30" s="18"/>
      <c r="J30" s="18"/>
      <c r="K30" s="18"/>
      <c r="L30" s="10"/>
      <c r="M30" s="6"/>
      <c r="N30" s="6"/>
      <c r="O30" s="11"/>
      <c r="P30" s="18"/>
      <c r="Q30" s="18"/>
      <c r="R30" s="18"/>
      <c r="S30" s="18"/>
      <c r="T30" s="18"/>
      <c r="U30" s="18"/>
      <c r="V30" s="18"/>
      <c r="W30" s="18"/>
      <c r="X30" s="18"/>
      <c r="Y30" s="18"/>
      <c r="Z30" s="19"/>
    </row>
    <row r="31" spans="1:26" x14ac:dyDescent="0.3">
      <c r="A31" s="18"/>
      <c r="B31" s="18"/>
      <c r="C31" s="18"/>
      <c r="D31" s="18"/>
      <c r="E31" s="18"/>
      <c r="F31" s="18"/>
      <c r="G31" s="18"/>
      <c r="H31" s="18"/>
      <c r="I31" s="18"/>
      <c r="J31" s="18"/>
      <c r="K31" s="18"/>
      <c r="L31" s="10"/>
      <c r="M31" s="6"/>
      <c r="N31" s="6"/>
      <c r="O31" s="11"/>
      <c r="P31" s="18"/>
      <c r="Q31" s="18"/>
      <c r="R31" s="18"/>
      <c r="S31" s="18"/>
      <c r="T31" s="18"/>
      <c r="U31" s="18"/>
      <c r="V31" s="18"/>
      <c r="W31" s="18"/>
      <c r="X31" s="18"/>
      <c r="Y31" s="18"/>
      <c r="Z31" s="19"/>
    </row>
    <row r="32" spans="1:26" x14ac:dyDescent="0.3">
      <c r="A32" s="18"/>
      <c r="B32" s="18"/>
      <c r="C32" s="18"/>
      <c r="D32" s="18"/>
      <c r="E32" s="18"/>
      <c r="F32" s="18"/>
      <c r="G32" s="18"/>
      <c r="H32" s="18"/>
      <c r="I32" s="18"/>
      <c r="J32" s="18"/>
      <c r="K32" s="18"/>
      <c r="L32" s="10"/>
      <c r="M32" s="6"/>
      <c r="N32" s="6"/>
      <c r="O32" s="11"/>
      <c r="P32" s="18"/>
      <c r="Q32" s="18"/>
      <c r="R32" s="18"/>
      <c r="S32" s="18"/>
      <c r="T32" s="18"/>
      <c r="U32" s="18"/>
      <c r="V32" s="18"/>
      <c r="W32" s="18"/>
      <c r="X32" s="18"/>
      <c r="Y32" s="18"/>
      <c r="Z32" s="19"/>
    </row>
    <row r="33" spans="1:36" x14ac:dyDescent="0.3">
      <c r="A33" s="18"/>
      <c r="B33" s="18"/>
      <c r="C33" s="18"/>
      <c r="D33" s="18"/>
      <c r="E33" s="18"/>
      <c r="F33" s="18"/>
      <c r="G33" s="18"/>
      <c r="H33" s="18"/>
      <c r="I33" s="18"/>
      <c r="J33" s="18"/>
      <c r="K33" s="18"/>
      <c r="L33" s="10"/>
      <c r="M33" s="6"/>
      <c r="N33" s="6"/>
      <c r="O33" s="11"/>
      <c r="P33" s="18"/>
      <c r="Q33" s="18"/>
      <c r="R33" s="18"/>
      <c r="S33" s="18"/>
      <c r="T33" s="18"/>
      <c r="U33" s="18"/>
      <c r="V33" s="18"/>
      <c r="W33" s="18"/>
      <c r="X33" s="18"/>
      <c r="Y33" s="18"/>
      <c r="Z33" s="19"/>
    </row>
    <row r="34" spans="1:36" x14ac:dyDescent="0.3">
      <c r="A34" s="18"/>
      <c r="B34" s="18"/>
      <c r="C34" s="18"/>
      <c r="D34" s="18"/>
      <c r="E34" s="18"/>
      <c r="F34" s="18"/>
      <c r="G34" s="18"/>
      <c r="H34" s="18"/>
      <c r="I34" s="18"/>
      <c r="J34" s="18"/>
      <c r="K34" s="18"/>
      <c r="L34" s="10"/>
      <c r="M34" s="6"/>
      <c r="N34" s="6"/>
      <c r="O34" s="11"/>
      <c r="P34" s="18"/>
      <c r="Q34" s="18"/>
      <c r="R34" s="18"/>
      <c r="S34" s="18"/>
      <c r="T34" s="18"/>
      <c r="U34" s="18"/>
      <c r="V34" s="18"/>
      <c r="W34" s="18"/>
      <c r="X34" s="18"/>
      <c r="Y34" s="18"/>
      <c r="Z34" s="19"/>
    </row>
    <row r="35" spans="1:36" x14ac:dyDescent="0.3">
      <c r="A35" s="18"/>
      <c r="B35" s="18"/>
      <c r="C35" s="18"/>
      <c r="D35" s="18"/>
      <c r="E35" s="18"/>
      <c r="F35" s="18"/>
      <c r="G35" s="18"/>
      <c r="H35" s="18"/>
      <c r="I35" s="18"/>
      <c r="J35" s="18"/>
      <c r="K35" s="18"/>
      <c r="L35" s="10"/>
      <c r="M35" s="6"/>
      <c r="N35" s="6"/>
      <c r="O35" s="11"/>
      <c r="P35" s="18"/>
      <c r="Q35" s="18"/>
      <c r="R35" s="18"/>
      <c r="S35" s="18"/>
      <c r="T35" s="18"/>
      <c r="U35" s="18"/>
      <c r="V35" s="18"/>
      <c r="W35" s="18"/>
      <c r="X35" s="18"/>
      <c r="Y35" s="18"/>
      <c r="Z35" s="19"/>
    </row>
    <row r="36" spans="1:36" x14ac:dyDescent="0.3">
      <c r="A36" s="18"/>
      <c r="B36" s="18"/>
      <c r="C36" s="18"/>
      <c r="D36" s="18"/>
      <c r="E36" s="18"/>
      <c r="F36" s="18"/>
      <c r="G36" s="18"/>
      <c r="H36" s="18"/>
      <c r="I36" s="18"/>
      <c r="J36" s="18"/>
      <c r="K36" s="18"/>
      <c r="L36" s="10"/>
      <c r="M36" s="6"/>
      <c r="N36" s="6"/>
      <c r="O36" s="11"/>
      <c r="P36" s="18"/>
      <c r="Q36" s="18"/>
      <c r="R36" s="18"/>
      <c r="S36" s="18"/>
      <c r="T36" s="18"/>
      <c r="U36" s="18"/>
      <c r="V36" s="18"/>
      <c r="W36" s="18"/>
      <c r="X36" s="18"/>
      <c r="Y36" s="18"/>
      <c r="Z36" s="19"/>
    </row>
    <row r="37" spans="1:36" x14ac:dyDescent="0.3">
      <c r="A37" s="18"/>
      <c r="B37" s="18"/>
      <c r="C37" s="18"/>
      <c r="D37" s="18"/>
      <c r="E37" s="18"/>
      <c r="F37" s="18"/>
      <c r="G37" s="18"/>
      <c r="H37" s="18"/>
      <c r="I37" s="18"/>
      <c r="J37" s="18"/>
      <c r="K37" s="18"/>
      <c r="L37" s="10"/>
      <c r="M37" s="6"/>
      <c r="N37" s="6"/>
      <c r="O37" s="11"/>
      <c r="P37" s="18"/>
      <c r="Q37" s="18"/>
      <c r="R37" s="18"/>
      <c r="S37" s="18"/>
      <c r="T37" s="18"/>
      <c r="U37" s="18"/>
      <c r="V37" s="18"/>
      <c r="W37" s="18"/>
      <c r="X37" s="18"/>
      <c r="Y37" s="18"/>
      <c r="Z37" s="19"/>
    </row>
    <row r="38" spans="1:36" x14ac:dyDescent="0.3">
      <c r="A38" s="18"/>
      <c r="B38" s="18"/>
      <c r="C38" s="18"/>
      <c r="D38" s="18"/>
      <c r="E38" s="18"/>
      <c r="F38" s="18"/>
      <c r="G38" s="18"/>
      <c r="H38" s="18"/>
      <c r="I38" s="18"/>
      <c r="J38" s="18"/>
      <c r="K38" s="18"/>
      <c r="L38" s="10"/>
      <c r="M38" s="6"/>
      <c r="N38" s="6"/>
      <c r="O38" s="11"/>
      <c r="P38" s="18"/>
      <c r="Q38" s="18"/>
      <c r="R38" s="18"/>
      <c r="S38" s="18"/>
      <c r="T38" s="18"/>
      <c r="U38" s="18"/>
      <c r="V38" s="18"/>
      <c r="W38" s="18"/>
      <c r="X38" s="18"/>
      <c r="Y38" s="18"/>
      <c r="Z38" s="19"/>
    </row>
    <row r="39" spans="1:36" x14ac:dyDescent="0.3">
      <c r="A39" s="18"/>
      <c r="B39" s="18"/>
      <c r="C39" s="18"/>
      <c r="D39" s="18"/>
      <c r="E39" s="18"/>
      <c r="F39" s="18"/>
      <c r="G39" s="18"/>
      <c r="H39" s="18"/>
      <c r="I39" s="18"/>
      <c r="J39" s="18"/>
      <c r="K39" s="18"/>
      <c r="L39" s="10"/>
      <c r="M39" s="6"/>
      <c r="N39" s="6"/>
      <c r="O39" s="11"/>
      <c r="P39" s="18"/>
      <c r="Q39" s="18"/>
      <c r="R39" s="18"/>
      <c r="S39" s="18"/>
      <c r="T39" s="18"/>
      <c r="U39" s="18"/>
      <c r="V39" s="18"/>
      <c r="W39" s="18"/>
      <c r="X39" s="18"/>
      <c r="Y39" s="18"/>
      <c r="Z39" s="19"/>
    </row>
    <row r="40" spans="1:36" x14ac:dyDescent="0.3">
      <c r="A40" s="18"/>
      <c r="B40" s="18"/>
      <c r="C40" s="18"/>
      <c r="D40" s="18"/>
      <c r="E40" s="18"/>
      <c r="F40" s="18"/>
      <c r="G40" s="18"/>
      <c r="H40" s="18"/>
      <c r="I40" s="18"/>
      <c r="J40" s="18"/>
      <c r="K40" s="18"/>
      <c r="L40" s="10"/>
      <c r="M40" s="6"/>
      <c r="N40" s="6"/>
      <c r="O40" s="11"/>
      <c r="P40" s="18"/>
      <c r="Q40" s="18"/>
      <c r="R40" s="18"/>
      <c r="S40" s="18"/>
      <c r="T40" s="18"/>
      <c r="U40" s="18"/>
      <c r="V40" s="18"/>
      <c r="W40" s="18"/>
      <c r="X40" s="18"/>
      <c r="Y40" s="18"/>
      <c r="Z40" s="19"/>
      <c r="AJ40" s="24"/>
    </row>
    <row r="41" spans="1:36" x14ac:dyDescent="0.3">
      <c r="A41" s="18"/>
      <c r="B41" s="18"/>
      <c r="C41" s="18"/>
      <c r="D41" s="18"/>
      <c r="E41" s="18"/>
      <c r="F41" s="18"/>
      <c r="G41" s="18"/>
      <c r="H41" s="18"/>
      <c r="I41" s="18"/>
      <c r="J41" s="18"/>
      <c r="K41" s="18"/>
      <c r="L41" s="10"/>
      <c r="M41" s="6"/>
      <c r="N41" s="6"/>
      <c r="O41" s="11"/>
      <c r="P41" s="18"/>
      <c r="Q41" s="18"/>
      <c r="R41" s="18"/>
      <c r="S41" s="18"/>
      <c r="T41" s="18"/>
      <c r="U41" s="18"/>
      <c r="V41" s="18"/>
      <c r="W41" s="18"/>
      <c r="X41" s="18"/>
      <c r="Y41" s="18"/>
      <c r="Z41" s="19"/>
    </row>
    <row r="42" spans="1:36" x14ac:dyDescent="0.3">
      <c r="A42" s="18"/>
      <c r="B42" s="18"/>
      <c r="C42" s="18"/>
      <c r="D42" s="18"/>
      <c r="E42" s="18"/>
      <c r="F42" s="18"/>
      <c r="G42" s="18"/>
      <c r="H42" s="18"/>
      <c r="I42" s="18"/>
      <c r="J42" s="18"/>
      <c r="K42" s="18"/>
      <c r="L42" s="10"/>
      <c r="M42" s="6"/>
      <c r="N42" s="6"/>
      <c r="O42" s="11"/>
      <c r="P42" s="18"/>
      <c r="Q42" s="18"/>
      <c r="R42" s="18"/>
      <c r="S42" s="18"/>
      <c r="T42" s="18"/>
      <c r="U42" s="18"/>
      <c r="V42" s="18"/>
      <c r="W42" s="18"/>
      <c r="X42" s="18"/>
      <c r="Y42" s="18"/>
      <c r="Z42" s="19"/>
    </row>
    <row r="43" spans="1:36" x14ac:dyDescent="0.3">
      <c r="A43" s="18"/>
      <c r="B43" s="18"/>
      <c r="C43" s="18"/>
      <c r="D43" s="18"/>
      <c r="E43" s="18"/>
      <c r="F43" s="18"/>
      <c r="G43" s="18"/>
      <c r="H43" s="18"/>
      <c r="I43" s="18"/>
      <c r="J43" s="18"/>
      <c r="K43" s="18"/>
      <c r="L43" s="10"/>
      <c r="M43" s="6"/>
      <c r="N43" s="6"/>
      <c r="O43" s="11"/>
      <c r="P43" s="18"/>
      <c r="Q43" s="18"/>
      <c r="R43" s="18"/>
      <c r="S43" s="18"/>
      <c r="T43" s="18"/>
      <c r="U43" s="18"/>
      <c r="V43" s="18"/>
      <c r="W43" s="18"/>
      <c r="X43" s="18"/>
      <c r="Y43" s="18"/>
      <c r="Z43" s="19"/>
    </row>
    <row r="44" spans="1:36" x14ac:dyDescent="0.3">
      <c r="A44" s="18"/>
      <c r="B44" s="18"/>
      <c r="C44" s="18"/>
      <c r="D44" s="18"/>
      <c r="E44" s="18"/>
      <c r="F44" s="18"/>
      <c r="G44" s="18"/>
      <c r="H44" s="18"/>
      <c r="I44" s="18"/>
      <c r="J44" s="18"/>
      <c r="K44" s="18"/>
      <c r="L44" s="10"/>
      <c r="M44" s="6"/>
      <c r="N44" s="6"/>
      <c r="O44" s="11"/>
      <c r="P44" s="18"/>
      <c r="Q44" s="18"/>
      <c r="R44" s="18"/>
      <c r="S44" s="18"/>
      <c r="T44" s="18"/>
      <c r="U44" s="18"/>
      <c r="V44" s="18"/>
      <c r="W44" s="18"/>
      <c r="X44" s="18"/>
      <c r="Y44" s="18"/>
      <c r="Z44" s="19"/>
    </row>
    <row r="45" spans="1:36" x14ac:dyDescent="0.3">
      <c r="A45" s="18"/>
      <c r="B45" s="18"/>
      <c r="C45" s="18"/>
      <c r="D45" s="18"/>
      <c r="E45" s="18"/>
      <c r="F45" s="18"/>
      <c r="G45" s="18"/>
      <c r="H45" s="18"/>
      <c r="I45" s="18"/>
      <c r="J45" s="18"/>
      <c r="K45" s="18"/>
      <c r="L45" s="10"/>
      <c r="M45" s="6"/>
      <c r="N45" s="6"/>
      <c r="O45" s="11"/>
      <c r="P45" s="18"/>
      <c r="Q45" s="18"/>
      <c r="R45" s="18"/>
      <c r="S45" s="18"/>
      <c r="T45" s="18"/>
      <c r="U45" s="18"/>
      <c r="V45" s="18"/>
      <c r="W45" s="18"/>
      <c r="X45" s="18"/>
      <c r="Y45" s="18"/>
      <c r="Z45" s="19"/>
    </row>
    <row r="46" spans="1:36" x14ac:dyDescent="0.3">
      <c r="A46" s="18"/>
      <c r="B46" s="18"/>
      <c r="C46" s="18"/>
      <c r="D46" s="18"/>
      <c r="E46" s="18"/>
      <c r="F46" s="18"/>
      <c r="G46" s="18"/>
      <c r="H46" s="18"/>
      <c r="I46" s="18"/>
      <c r="J46" s="18"/>
      <c r="K46" s="18"/>
      <c r="L46" s="10"/>
      <c r="M46" s="6"/>
      <c r="N46" s="6"/>
      <c r="O46" s="11"/>
      <c r="P46" s="18"/>
      <c r="Q46" s="18"/>
      <c r="R46" s="18"/>
      <c r="S46" s="18"/>
      <c r="T46" s="18"/>
      <c r="U46" s="18"/>
      <c r="V46" s="18"/>
      <c r="W46" s="18"/>
      <c r="X46" s="18"/>
      <c r="Y46" s="18"/>
      <c r="Z46" s="19"/>
    </row>
    <row r="47" spans="1:36" x14ac:dyDescent="0.3">
      <c r="A47" s="18"/>
      <c r="B47" s="18"/>
      <c r="C47" s="18"/>
      <c r="D47" s="18"/>
      <c r="E47" s="18"/>
      <c r="F47" s="18"/>
      <c r="G47" s="18"/>
      <c r="H47" s="18"/>
      <c r="I47" s="18"/>
      <c r="J47" s="18"/>
      <c r="K47" s="18"/>
      <c r="L47" s="10"/>
      <c r="M47" s="6"/>
      <c r="N47" s="6"/>
      <c r="O47" s="11"/>
      <c r="P47" s="18"/>
      <c r="Q47" s="18"/>
      <c r="R47" s="18"/>
      <c r="S47" s="18"/>
      <c r="T47" s="18"/>
      <c r="U47" s="18"/>
      <c r="V47" s="18"/>
      <c r="W47" s="18"/>
      <c r="X47" s="18"/>
      <c r="Y47" s="18"/>
      <c r="Z47" s="19"/>
    </row>
    <row r="48" spans="1:36" x14ac:dyDescent="0.3">
      <c r="A48" s="18"/>
      <c r="B48" s="18"/>
      <c r="C48" s="18"/>
      <c r="D48" s="18"/>
      <c r="E48" s="18"/>
      <c r="F48" s="18"/>
      <c r="G48" s="18"/>
      <c r="H48" s="18"/>
      <c r="I48" s="18"/>
      <c r="J48" s="18"/>
      <c r="K48" s="18"/>
      <c r="L48" s="10"/>
      <c r="M48" s="6"/>
      <c r="N48" s="6"/>
      <c r="O48" s="11"/>
      <c r="P48" s="18"/>
      <c r="Q48" s="18"/>
      <c r="R48" s="18"/>
      <c r="S48" s="18"/>
      <c r="T48" s="18"/>
      <c r="U48" s="18"/>
      <c r="V48" s="18"/>
      <c r="W48" s="18"/>
      <c r="X48" s="18"/>
      <c r="Y48" s="18"/>
      <c r="Z48" s="19"/>
    </row>
    <row r="49" spans="1:26" x14ac:dyDescent="0.3">
      <c r="A49" s="18"/>
      <c r="B49" s="18"/>
      <c r="C49" s="18"/>
      <c r="D49" s="18"/>
      <c r="E49" s="18"/>
      <c r="F49" s="18"/>
      <c r="G49" s="18"/>
      <c r="H49" s="18"/>
      <c r="I49" s="18"/>
      <c r="J49" s="18"/>
      <c r="K49" s="18"/>
      <c r="L49" s="10"/>
      <c r="M49" s="6"/>
      <c r="N49" s="6"/>
      <c r="O49" s="11"/>
      <c r="P49" s="18"/>
      <c r="Q49" s="18"/>
      <c r="R49" s="18"/>
      <c r="S49" s="18"/>
      <c r="T49" s="18"/>
      <c r="U49" s="18"/>
      <c r="V49" s="18"/>
      <c r="W49" s="18"/>
      <c r="X49" s="18"/>
      <c r="Y49" s="18"/>
      <c r="Z49" s="19"/>
    </row>
    <row r="50" spans="1:26" x14ac:dyDescent="0.3">
      <c r="A50" s="18"/>
      <c r="B50" s="18"/>
      <c r="C50" s="18"/>
      <c r="D50" s="18"/>
      <c r="E50" s="18"/>
      <c r="F50" s="18"/>
      <c r="G50" s="18"/>
      <c r="H50" s="18"/>
      <c r="I50" s="18"/>
      <c r="J50" s="18"/>
      <c r="K50" s="18"/>
      <c r="L50" s="10"/>
      <c r="M50" s="6"/>
      <c r="N50" s="6"/>
      <c r="O50" s="11"/>
      <c r="P50" s="18"/>
      <c r="Q50" s="18"/>
      <c r="R50" s="18"/>
      <c r="S50" s="18"/>
      <c r="T50" s="18"/>
      <c r="U50" s="18"/>
      <c r="V50" s="18"/>
      <c r="W50" s="18"/>
      <c r="X50" s="18"/>
      <c r="Y50" s="18"/>
      <c r="Z50" s="19"/>
    </row>
    <row r="51" spans="1:26" x14ac:dyDescent="0.3">
      <c r="A51" s="18"/>
      <c r="B51" s="18"/>
      <c r="C51" s="18"/>
      <c r="D51" s="18"/>
      <c r="E51" s="18"/>
      <c r="F51" s="18"/>
      <c r="G51" s="18"/>
      <c r="H51" s="18"/>
      <c r="I51" s="18"/>
      <c r="J51" s="18"/>
      <c r="K51" s="18"/>
      <c r="L51" s="10"/>
      <c r="M51" s="6"/>
      <c r="N51" s="6"/>
      <c r="O51" s="11"/>
      <c r="P51" s="18"/>
      <c r="Q51" s="18"/>
      <c r="R51" s="18"/>
      <c r="S51" s="18"/>
      <c r="T51" s="18"/>
      <c r="U51" s="18"/>
      <c r="V51" s="18"/>
      <c r="W51" s="18"/>
      <c r="X51" s="18"/>
      <c r="Y51" s="18"/>
      <c r="Z51" s="19"/>
    </row>
    <row r="52" spans="1:26" x14ac:dyDescent="0.3">
      <c r="A52" s="18"/>
      <c r="B52" s="18"/>
      <c r="C52" s="18"/>
      <c r="D52" s="18"/>
      <c r="E52" s="18"/>
      <c r="F52" s="18"/>
      <c r="G52" s="18"/>
      <c r="H52" s="18"/>
      <c r="I52" s="18"/>
      <c r="J52" s="18"/>
      <c r="K52" s="18"/>
      <c r="L52" s="10"/>
      <c r="M52" s="6"/>
      <c r="N52" s="6"/>
      <c r="O52" s="11"/>
      <c r="P52" s="18"/>
      <c r="Q52" s="18"/>
      <c r="R52" s="18"/>
      <c r="S52" s="18"/>
      <c r="T52" s="18"/>
      <c r="U52" s="18"/>
      <c r="V52" s="18"/>
      <c r="W52" s="18"/>
      <c r="X52" s="18"/>
      <c r="Y52" s="18"/>
      <c r="Z52" s="19"/>
    </row>
    <row r="53" spans="1:26" x14ac:dyDescent="0.3">
      <c r="A53" s="18"/>
      <c r="B53" s="18"/>
      <c r="C53" s="18"/>
      <c r="D53" s="18"/>
      <c r="E53" s="18"/>
      <c r="F53" s="18"/>
      <c r="G53" s="18"/>
      <c r="H53" s="18"/>
      <c r="I53" s="18"/>
      <c r="J53" s="18"/>
      <c r="K53" s="18"/>
      <c r="L53" s="10"/>
      <c r="M53" s="6"/>
      <c r="N53" s="6"/>
      <c r="O53" s="11"/>
      <c r="P53" s="18"/>
      <c r="Q53" s="18"/>
      <c r="R53" s="18"/>
      <c r="S53" s="18"/>
      <c r="T53" s="18"/>
      <c r="U53" s="18"/>
      <c r="V53" s="18"/>
      <c r="W53" s="18"/>
      <c r="X53" s="18"/>
      <c r="Y53" s="18"/>
      <c r="Z53" s="19"/>
    </row>
    <row r="54" spans="1:26" x14ac:dyDescent="0.3">
      <c r="A54" s="18"/>
      <c r="B54" s="18"/>
      <c r="C54" s="18"/>
      <c r="D54" s="18"/>
      <c r="E54" s="18"/>
      <c r="F54" s="18"/>
      <c r="G54" s="18"/>
      <c r="H54" s="18"/>
      <c r="I54" s="18"/>
      <c r="J54" s="18"/>
      <c r="K54" s="18"/>
      <c r="L54" s="10"/>
      <c r="M54" s="6"/>
      <c r="N54" s="6"/>
      <c r="O54" s="11"/>
      <c r="P54" s="18"/>
      <c r="Q54" s="18"/>
      <c r="R54" s="18"/>
      <c r="S54" s="18"/>
      <c r="T54" s="18"/>
      <c r="U54" s="18"/>
      <c r="V54" s="18"/>
      <c r="W54" s="18"/>
      <c r="X54" s="18"/>
      <c r="Y54" s="18"/>
      <c r="Z54" s="19"/>
    </row>
    <row r="55" spans="1:26" x14ac:dyDescent="0.3">
      <c r="A55" s="18"/>
      <c r="B55" s="18"/>
      <c r="C55" s="18"/>
      <c r="D55" s="18"/>
      <c r="E55" s="18"/>
      <c r="F55" s="18"/>
      <c r="G55" s="18"/>
      <c r="H55" s="18"/>
      <c r="I55" s="18"/>
      <c r="J55" s="18"/>
      <c r="K55" s="18"/>
      <c r="L55" s="10"/>
      <c r="M55" s="6"/>
      <c r="N55" s="6"/>
      <c r="O55" s="11"/>
      <c r="P55" s="18"/>
      <c r="Q55" s="18"/>
      <c r="R55" s="18"/>
      <c r="S55" s="18"/>
      <c r="T55" s="18"/>
      <c r="U55" s="18"/>
      <c r="V55" s="18"/>
      <c r="W55" s="18"/>
      <c r="X55" s="18"/>
      <c r="Y55" s="18"/>
      <c r="Z55" s="19"/>
    </row>
    <row r="56" spans="1:26" x14ac:dyDescent="0.3">
      <c r="A56" s="18"/>
      <c r="B56" s="18"/>
      <c r="C56" s="18"/>
      <c r="D56" s="18"/>
      <c r="E56" s="18"/>
      <c r="F56" s="18"/>
      <c r="G56" s="18"/>
      <c r="H56" s="18"/>
      <c r="I56" s="18"/>
      <c r="J56" s="18"/>
      <c r="K56" s="18"/>
      <c r="L56" s="10"/>
      <c r="M56" s="6"/>
      <c r="N56" s="6"/>
      <c r="O56" s="11"/>
      <c r="P56" s="18"/>
      <c r="Q56" s="18"/>
      <c r="R56" s="18"/>
      <c r="S56" s="18"/>
      <c r="T56" s="18"/>
      <c r="U56" s="18"/>
      <c r="V56" s="18"/>
      <c r="W56" s="18"/>
      <c r="X56" s="18"/>
      <c r="Y56" s="18"/>
      <c r="Z56" s="19"/>
    </row>
    <row r="57" spans="1:26" x14ac:dyDescent="0.3">
      <c r="A57" s="18"/>
      <c r="B57" s="18"/>
      <c r="C57" s="18"/>
      <c r="D57" s="18"/>
      <c r="E57" s="18"/>
      <c r="F57" s="18"/>
      <c r="G57" s="18"/>
      <c r="H57" s="18"/>
      <c r="I57" s="18"/>
      <c r="J57" s="18"/>
      <c r="K57" s="18"/>
      <c r="L57" s="10"/>
      <c r="M57" s="6"/>
      <c r="N57" s="6"/>
      <c r="O57" s="11"/>
      <c r="P57" s="18"/>
      <c r="Q57" s="18"/>
      <c r="R57" s="18"/>
      <c r="S57" s="18"/>
      <c r="T57" s="18"/>
      <c r="U57" s="18"/>
      <c r="V57" s="18"/>
      <c r="W57" s="18"/>
      <c r="X57" s="18"/>
      <c r="Y57" s="18"/>
      <c r="Z57" s="19"/>
    </row>
    <row r="58" spans="1:26" x14ac:dyDescent="0.3">
      <c r="A58" s="18"/>
      <c r="B58" s="18"/>
      <c r="C58" s="18"/>
      <c r="D58" s="18"/>
      <c r="E58" s="18"/>
      <c r="F58" s="18"/>
      <c r="G58" s="18"/>
      <c r="H58" s="18"/>
      <c r="I58" s="18"/>
      <c r="J58" s="18"/>
      <c r="K58" s="18"/>
      <c r="L58" s="10"/>
      <c r="M58" s="6"/>
      <c r="N58" s="6"/>
      <c r="O58" s="11"/>
      <c r="P58" s="18"/>
      <c r="Q58" s="18"/>
      <c r="R58" s="18"/>
      <c r="S58" s="18"/>
      <c r="T58" s="18"/>
      <c r="U58" s="18"/>
      <c r="V58" s="18"/>
      <c r="W58" s="18"/>
      <c r="X58" s="18"/>
      <c r="Y58" s="18"/>
      <c r="Z58" s="19"/>
    </row>
    <row r="59" spans="1:26" x14ac:dyDescent="0.3">
      <c r="A59" s="18"/>
      <c r="B59" s="18"/>
      <c r="C59" s="18"/>
      <c r="D59" s="18"/>
      <c r="E59" s="18"/>
      <c r="F59" s="18"/>
      <c r="G59" s="18"/>
      <c r="H59" s="18"/>
      <c r="I59" s="18"/>
      <c r="J59" s="18"/>
      <c r="K59" s="18"/>
      <c r="L59" s="10"/>
      <c r="M59" s="6"/>
      <c r="N59" s="6"/>
      <c r="O59" s="11"/>
      <c r="P59" s="18"/>
      <c r="Q59" s="18"/>
      <c r="R59" s="18"/>
      <c r="S59" s="18"/>
      <c r="T59" s="18"/>
      <c r="U59" s="18"/>
      <c r="V59" s="18"/>
      <c r="W59" s="18"/>
      <c r="X59" s="18"/>
      <c r="Y59" s="18"/>
      <c r="Z59" s="19"/>
    </row>
    <row r="60" spans="1:26" x14ac:dyDescent="0.3">
      <c r="A60" s="18"/>
      <c r="B60" s="18"/>
      <c r="C60" s="18"/>
      <c r="D60" s="18"/>
      <c r="E60" s="18"/>
      <c r="F60" s="18"/>
      <c r="G60" s="18"/>
      <c r="H60" s="18"/>
      <c r="I60" s="18"/>
      <c r="J60" s="18"/>
      <c r="K60" s="18"/>
      <c r="L60" s="10"/>
      <c r="M60" s="6"/>
      <c r="N60" s="6"/>
      <c r="O60" s="11"/>
      <c r="P60" s="18"/>
      <c r="Q60" s="18"/>
      <c r="R60" s="18"/>
      <c r="S60" s="18"/>
      <c r="T60" s="18"/>
      <c r="U60" s="18"/>
      <c r="V60" s="18"/>
      <c r="W60" s="18"/>
      <c r="X60" s="18"/>
      <c r="Y60" s="18"/>
      <c r="Z60" s="19"/>
    </row>
    <row r="61" spans="1:26" x14ac:dyDescent="0.3">
      <c r="A61" s="18"/>
      <c r="B61" s="18"/>
      <c r="C61" s="18"/>
      <c r="D61" s="18"/>
      <c r="E61" s="18"/>
      <c r="F61" s="18"/>
      <c r="G61" s="18"/>
      <c r="H61" s="18"/>
      <c r="I61" s="18"/>
      <c r="J61" s="18"/>
      <c r="K61" s="18"/>
      <c r="L61" s="10"/>
      <c r="M61" s="6"/>
      <c r="N61" s="6"/>
      <c r="O61" s="11"/>
      <c r="P61" s="18"/>
      <c r="Q61" s="18"/>
      <c r="R61" s="18"/>
      <c r="S61" s="18"/>
      <c r="T61" s="18"/>
      <c r="U61" s="18"/>
      <c r="V61" s="18"/>
      <c r="W61" s="18"/>
      <c r="X61" s="18"/>
      <c r="Y61" s="18"/>
      <c r="Z61" s="19"/>
    </row>
    <row r="62" spans="1:26" x14ac:dyDescent="0.3">
      <c r="A62" s="18"/>
      <c r="B62" s="18"/>
      <c r="C62" s="18"/>
      <c r="D62" s="18"/>
      <c r="E62" s="18"/>
      <c r="F62" s="18"/>
      <c r="G62" s="18"/>
      <c r="H62" s="18"/>
      <c r="I62" s="18"/>
      <c r="J62" s="18"/>
      <c r="K62" s="18"/>
      <c r="L62" s="10"/>
      <c r="M62" s="6"/>
      <c r="N62" s="6"/>
      <c r="O62" s="11"/>
      <c r="P62" s="18"/>
      <c r="Q62" s="18"/>
      <c r="R62" s="18"/>
      <c r="S62" s="18"/>
      <c r="T62" s="18"/>
      <c r="U62" s="18"/>
      <c r="V62" s="18"/>
      <c r="W62" s="18"/>
      <c r="X62" s="18"/>
      <c r="Y62" s="18"/>
      <c r="Z62" s="19"/>
    </row>
    <row r="63" spans="1:26" x14ac:dyDescent="0.3">
      <c r="A63" s="18"/>
      <c r="B63" s="18"/>
      <c r="C63" s="18"/>
      <c r="D63" s="18"/>
      <c r="E63" s="18"/>
      <c r="F63" s="18"/>
      <c r="G63" s="18"/>
      <c r="H63" s="18"/>
      <c r="I63" s="18"/>
      <c r="J63" s="18"/>
      <c r="K63" s="18"/>
      <c r="L63" s="10"/>
      <c r="M63" s="6"/>
      <c r="N63" s="6"/>
      <c r="O63" s="11"/>
      <c r="P63" s="18"/>
      <c r="Q63" s="18"/>
      <c r="R63" s="18"/>
      <c r="S63" s="18"/>
      <c r="T63" s="18"/>
      <c r="U63" s="18"/>
      <c r="V63" s="18"/>
      <c r="W63" s="18"/>
      <c r="X63" s="18"/>
      <c r="Y63" s="18"/>
      <c r="Z63" s="19"/>
    </row>
    <row r="64" spans="1:26" x14ac:dyDescent="0.3">
      <c r="A64" s="18"/>
      <c r="B64" s="18"/>
      <c r="C64" s="18"/>
      <c r="D64" s="18"/>
      <c r="E64" s="18"/>
      <c r="F64" s="18"/>
      <c r="G64" s="18"/>
      <c r="H64" s="18"/>
      <c r="I64" s="18"/>
      <c r="J64" s="18"/>
      <c r="K64" s="18"/>
      <c r="L64" s="10"/>
      <c r="M64" s="6"/>
      <c r="N64" s="6"/>
      <c r="O64" s="11"/>
      <c r="P64" s="18"/>
      <c r="Q64" s="18"/>
      <c r="R64" s="18"/>
      <c r="S64" s="18"/>
      <c r="T64" s="18"/>
      <c r="U64" s="18"/>
      <c r="V64" s="18"/>
      <c r="W64" s="18"/>
      <c r="X64" s="18"/>
      <c r="Y64" s="18"/>
      <c r="Z64" s="19"/>
    </row>
    <row r="65" spans="1:26" x14ac:dyDescent="0.3">
      <c r="A65" s="20"/>
      <c r="B65" s="20"/>
      <c r="C65" s="20"/>
      <c r="D65" s="20"/>
      <c r="E65" s="20"/>
      <c r="F65" s="20"/>
      <c r="G65" s="20"/>
      <c r="H65" s="20"/>
      <c r="I65" s="20"/>
      <c r="J65" s="20"/>
      <c r="K65" s="20"/>
      <c r="L65" s="21"/>
      <c r="M65" s="8"/>
      <c r="N65" s="8"/>
      <c r="O65" s="22"/>
      <c r="P65" s="20"/>
      <c r="Q65" s="20"/>
      <c r="R65" s="20"/>
      <c r="S65" s="20"/>
      <c r="T65" s="20"/>
      <c r="U65" s="20"/>
      <c r="V65" s="20"/>
      <c r="W65" s="20"/>
      <c r="X65" s="20"/>
      <c r="Y65" s="20"/>
      <c r="Z65"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pharmacy_otc_sales_data</vt:lpstr>
      <vt:lpstr>Product wise orders placed</vt:lpstr>
      <vt:lpstr>total sales of drugs</vt:lpstr>
      <vt:lpstr>Monthly trend of sales of drugs</vt:lpstr>
      <vt:lpstr>Weekly trend of sales</vt:lpstr>
      <vt:lpstr>percent of total order by count</vt:lpstr>
      <vt:lpstr>Employess wise total 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hrishi sahu</dc:creator>
  <cp:lastModifiedBy>hrishi sahu</cp:lastModifiedBy>
  <dcterms:created xsi:type="dcterms:W3CDTF">2026-05-18T07:22:16Z</dcterms:created>
  <dcterms:modified xsi:type="dcterms:W3CDTF">2026-05-20T08:41:52Z</dcterms:modified>
</cp:coreProperties>
</file>